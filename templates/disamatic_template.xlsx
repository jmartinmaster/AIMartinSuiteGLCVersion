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duction Sheet" sheetId="1" state="visible" r:id="rId1"/>
    <sheet name="M1" sheetId="2" state="visible" r:id="rId2"/>
    <sheet name="Sheet1" sheetId="3" state="visible" r:id="rId3"/>
    <sheet name="CurrentFileName" sheetId="4" state="hidden" r:id="rId4"/>
  </sheets>
  <definedNames>
    <definedName name="CurrentFileName" hidden="0" function="0" vbProcedure="0">CurrentFileName!$A$2</definedName>
    <definedName name="_xlnm.Print_Area" localSheetId="0">'Production Sheet'!$A$1:$H$34</definedName>
    <definedName name="ExternalData_1" localSheetId="1" hidden="1" function="0" vbProcedure="0">M1!$A$1:$H$11</definedName>
    <definedName name="ExternalData_1" localSheetId="2" hidden="1" function="0" vbProcedure="0">Sheet1!$A$1:$F$304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;[RED]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2"/>
    </font>
    <font>
      <name val="Calibri"/>
      <charset val="1"/>
      <family val="2"/>
      <color rgb="FF006100"/>
      <sz val="11"/>
    </font>
    <font>
      <name val="Calibri"/>
      <charset val="1"/>
      <family val="2"/>
      <color rgb="FF3F3F76"/>
      <sz val="11"/>
    </font>
    <font>
      <name val="Calibri"/>
      <charset val="1"/>
      <family val="2"/>
      <color rgb="FF9C6500"/>
      <sz val="11"/>
    </font>
    <font>
      <name val="Calibri"/>
      <charset val="1"/>
      <family val="2"/>
      <color theme="0"/>
      <sz val="12"/>
    </font>
    <font>
      <name val="Calibri"/>
      <charset val="1"/>
      <family val="2"/>
      <b val="1"/>
      <color rgb="FFFA7D00"/>
      <sz val="11"/>
    </font>
    <font>
      <name val="Calibri"/>
      <charset val="1"/>
      <family val="2"/>
      <color rgb="FF9C0006"/>
      <sz val="11"/>
    </font>
    <font>
      <name val="Calibri"/>
      <charset val="1"/>
      <family val="2"/>
      <color theme="0"/>
      <sz val="11"/>
    </font>
    <font>
      <name val="Calibri"/>
      <charset val="1"/>
      <family val="2"/>
      <color rgb="FFFF0000"/>
      <sz val="11"/>
    </font>
  </fonts>
  <fills count="9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CC99"/>
        <bgColor rgb="FFFFC7CE"/>
      </patternFill>
    </fill>
    <fill>
      <patternFill patternType="solid">
        <fgColor rgb="FFFFEB9C"/>
        <bgColor rgb="FFFFCC99"/>
      </patternFill>
    </fill>
    <fill>
      <patternFill patternType="solid">
        <fgColor rgb="FFF2F2F2"/>
        <bgColor rgb="FFFFFFFF"/>
      </patternFill>
    </fill>
    <fill>
      <patternFill patternType="solid">
        <fgColor rgb="FFFFC7CE"/>
        <bgColor rgb="FFFFCC99"/>
      </patternFill>
    </fill>
    <fill>
      <patternFill patternType="solid">
        <fgColor theme="5"/>
        <bgColor rgb="FF993366"/>
      </patternFill>
    </fill>
    <fill>
      <patternFill patternType="solid">
        <fgColor theme="0" tint="-0.15"/>
        <bgColor rgb="FFC6EFCE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0" fontId="5" fillId="2" borderId="0" applyAlignment="1">
      <alignment horizontal="general" vertical="bottom"/>
    </xf>
    <xf numFmtId="0" fontId="6" fillId="3" borderId="1" applyAlignment="1">
      <alignment horizontal="general" vertical="bottom"/>
    </xf>
    <xf numFmtId="0" fontId="7" fillId="4" borderId="0" applyAlignment="1">
      <alignment horizontal="general" vertical="bottom"/>
    </xf>
    <xf numFmtId="0" fontId="9" fillId="5" borderId="1" applyAlignment="1">
      <alignment horizontal="general" vertical="bottom"/>
    </xf>
    <xf numFmtId="0" fontId="10" fillId="6" borderId="0" applyAlignment="1">
      <alignment horizontal="general" vertical="bottom"/>
    </xf>
    <xf numFmtId="0" fontId="11" fillId="7" borderId="0" applyAlignment="1">
      <alignment horizontal="general" vertical="bottom"/>
    </xf>
  </cellStyleXfs>
  <cellXfs count="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2" applyAlignment="1" applyProtection="1" pivotButton="0" quotePrefix="0" xfId="0">
      <alignment horizontal="left" vertical="bottom"/>
      <protection locked="0" hidden="0"/>
    </xf>
    <xf numFmtId="0" fontId="4" fillId="0" borderId="3" applyAlignment="1" applyProtection="1" pivotButton="0" quotePrefix="0" xfId="0">
      <alignment horizontal="left" vertical="bottom"/>
      <protection locked="0" hidden="0"/>
    </xf>
    <xf numFmtId="9" fontId="0" fillId="8" borderId="2" applyAlignment="1" pivotButton="0" quotePrefix="0" xfId="0">
      <alignment horizontal="general" vertical="bottom"/>
    </xf>
    <xf numFmtId="0" fontId="5" fillId="0" borderId="2" applyAlignment="1" pivotButton="0" quotePrefix="0" xfId="20">
      <alignment horizontal="general" vertical="bottom"/>
    </xf>
    <xf numFmtId="0" fontId="6" fillId="0" borderId="2" applyAlignment="1" pivotButton="0" quotePrefix="0" xfId="21">
      <alignment horizontal="general" vertical="bottom"/>
    </xf>
    <xf numFmtId="1" fontId="7" fillId="0" borderId="2" applyAlignment="1" pivotButton="0" quotePrefix="0" xfId="22">
      <alignment horizontal="general" vertical="bottom"/>
    </xf>
    <xf numFmtId="2" fontId="0" fillId="0" borderId="2" applyAlignment="1" pivotButton="0" quotePrefix="0" xfId="0">
      <alignment horizontal="general" vertical="bottom"/>
    </xf>
    <xf numFmtId="0" fontId="5" fillId="0" borderId="2" applyAlignment="1" pivotButton="0" quotePrefix="0" xfId="20">
      <alignment horizontal="right" vertical="bottom"/>
    </xf>
    <xf numFmtId="0" fontId="0" fillId="0" borderId="2" applyAlignment="1" pivotButton="0" quotePrefix="0" xfId="0">
      <alignment horizontal="general" vertical="bottom"/>
    </xf>
    <xf numFmtId="164" fontId="4" fillId="8" borderId="2" applyAlignment="1" pivotButton="0" quotePrefix="0" xfId="0">
      <alignment horizontal="left" vertical="bottom"/>
    </xf>
    <xf numFmtId="0" fontId="4" fillId="8" borderId="2" applyAlignment="1" pivotButton="0" quotePrefix="0" xfId="0">
      <alignment horizontal="left" vertical="bottom"/>
    </xf>
    <xf numFmtId="9" fontId="8" fillId="0" borderId="4" applyAlignment="1" pivotButton="0" quotePrefix="0" xfId="0">
      <alignment horizontal="left" vertical="bottom"/>
    </xf>
    <xf numFmtId="0" fontId="5" fillId="0" borderId="2" applyAlignment="1" pivotButton="0" quotePrefix="0" xfId="20">
      <alignment horizontal="left" vertical="top" wrapText="1"/>
    </xf>
    <xf numFmtId="1" fontId="5" fillId="0" borderId="2" applyAlignment="1" pivotButton="0" quotePrefix="0" xfId="20">
      <alignment horizontal="general" vertical="bottom"/>
    </xf>
    <xf numFmtId="1" fontId="9" fillId="0" borderId="2" applyAlignment="1" pivotButton="0" quotePrefix="0" xfId="23">
      <alignment horizontal="general" vertical="bottom"/>
    </xf>
    <xf numFmtId="0" fontId="4" fillId="0" borderId="2" applyAlignment="1" applyProtection="1" pivotButton="0" quotePrefix="0" xfId="0">
      <alignment horizontal="general" vertical="bottom"/>
      <protection locked="0" hidden="0"/>
    </xf>
    <xf numFmtId="49" fontId="5" fillId="0" borderId="2" applyAlignment="1" pivotButton="0" quotePrefix="0" xfId="20">
      <alignment horizontal="general" vertical="bottom"/>
    </xf>
    <xf numFmtId="2" fontId="9" fillId="0" borderId="2" applyAlignment="1" pivotButton="0" quotePrefix="0" xfId="23">
      <alignment horizontal="general" vertical="bottom"/>
    </xf>
    <xf numFmtId="1" fontId="4" fillId="8" borderId="2" applyAlignment="1" pivotButton="0" quotePrefix="0" xfId="0">
      <alignment horizontal="left" vertical="bottom"/>
    </xf>
    <xf numFmtId="0" fontId="4" fillId="0" borderId="5" applyAlignment="1" applyProtection="1" pivotButton="0" quotePrefix="0" xfId="0">
      <alignment horizontal="left" vertical="bottom"/>
      <protection locked="0" hidden="0"/>
    </xf>
    <xf numFmtId="0" fontId="9" fillId="0" borderId="2" applyAlignment="1" pivotButton="0" quotePrefix="0" xfId="23">
      <alignment horizontal="general" vertical="bottom"/>
    </xf>
    <xf numFmtId="0" fontId="4" fillId="0" borderId="2" applyAlignment="1" applyProtection="1" pivotButton="0" quotePrefix="0" xfId="0">
      <alignment horizontal="center" vertical="bottom"/>
      <protection locked="0" hidden="0"/>
    </xf>
    <xf numFmtId="49" fontId="4" fillId="0" borderId="2" applyAlignment="1" applyProtection="1" pivotButton="0" quotePrefix="0" xfId="0">
      <alignment horizontal="left" vertical="bottom"/>
      <protection locked="0" hidden="0"/>
    </xf>
    <xf numFmtId="1" fontId="4" fillId="0" borderId="2" applyAlignment="1" applyProtection="1" pivotButton="0" quotePrefix="0" xfId="0">
      <alignment horizontal="left" vertical="bottom"/>
      <protection locked="0" hidden="0"/>
    </xf>
    <xf numFmtId="9" fontId="9" fillId="0" borderId="2" applyAlignment="1" pivotButton="0" quotePrefix="0" xfId="19">
      <alignment horizontal="general" vertical="bottom"/>
    </xf>
    <xf numFmtId="0" fontId="10" fillId="0" borderId="2" applyAlignment="1" pivotButton="0" quotePrefix="0" xfId="24">
      <alignment horizontal="right" vertical="bottom"/>
    </xf>
    <xf numFmtId="1" fontId="12" fillId="0" borderId="2" applyAlignment="1" pivotButton="0" quotePrefix="0" xfId="25">
      <alignment horizontal="general" vertical="bottom"/>
    </xf>
    <xf numFmtId="9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49" fontId="4" fillId="0" borderId="2" applyAlignment="1" applyProtection="1" pivotButton="0" quotePrefix="0" xfId="0">
      <alignment horizontal="center" vertical="bottom"/>
      <protection locked="0" hidden="0"/>
    </xf>
    <xf numFmtId="1" fontId="4" fillId="0" borderId="3" applyAlignment="1" applyProtection="1" pivotButton="0" quotePrefix="0" xfId="0">
      <alignment horizontal="left" vertical="bottom"/>
      <protection locked="0" hidden="0"/>
    </xf>
    <xf numFmtId="0" fontId="4" fillId="8" borderId="2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2" applyAlignment="1" applyProtection="1" pivotButton="0" quotePrefix="0" xfId="0">
      <alignment horizontal="left" vertical="bottom"/>
      <protection locked="0" hidden="0"/>
    </xf>
    <xf numFmtId="0" fontId="0" fillId="0" borderId="8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left" vertical="bottom"/>
      <protection locked="0" hidden="0"/>
    </xf>
    <xf numFmtId="9" fontId="0" fillId="8" borderId="2" applyAlignment="1" pivotButton="0" quotePrefix="0" xfId="0">
      <alignment horizontal="general" vertical="bottom"/>
    </xf>
    <xf numFmtId="0" fontId="5" fillId="0" borderId="2" applyAlignment="1" pivotButton="0" quotePrefix="0" xfId="20">
      <alignment horizontal="general" vertical="bottom"/>
    </xf>
    <xf numFmtId="0" fontId="6" fillId="0" borderId="2" applyAlignment="1" pivotButton="0" quotePrefix="0" xfId="21">
      <alignment horizontal="general" vertical="bottom"/>
    </xf>
    <xf numFmtId="1" fontId="7" fillId="0" borderId="2" applyAlignment="1" pivotButton="0" quotePrefix="0" xfId="22">
      <alignment horizontal="general" vertical="bottom"/>
    </xf>
    <xf numFmtId="2" fontId="0" fillId="0" borderId="2" applyAlignment="1" pivotButton="0" quotePrefix="0" xfId="0">
      <alignment horizontal="general" vertical="bottom"/>
    </xf>
    <xf numFmtId="0" fontId="5" fillId="0" borderId="2" applyAlignment="1" pivotButton="0" quotePrefix="0" xfId="20">
      <alignment horizontal="right" vertical="bottom"/>
    </xf>
    <xf numFmtId="0" fontId="0" fillId="0" borderId="2" applyAlignment="1" pivotButton="0" quotePrefix="0" xfId="0">
      <alignment horizontal="general" vertical="bottom"/>
    </xf>
    <xf numFmtId="164" fontId="4" fillId="8" borderId="2" applyAlignment="1" pivotButton="0" quotePrefix="0" xfId="0">
      <alignment horizontal="left" vertical="bottom"/>
    </xf>
    <xf numFmtId="0" fontId="4" fillId="8" borderId="2" applyAlignment="1" pivotButton="0" quotePrefix="0" xfId="0">
      <alignment horizontal="left" vertical="bottom"/>
    </xf>
    <xf numFmtId="9" fontId="8" fillId="0" borderId="4" applyAlignment="1" pivotButton="0" quotePrefix="0" xfId="0">
      <alignment horizontal="left" vertical="bottom"/>
    </xf>
    <xf numFmtId="0" fontId="5" fillId="0" borderId="2" applyAlignment="1" pivotButton="0" quotePrefix="0" xfId="20">
      <alignment horizontal="left" vertical="top" wrapText="1"/>
    </xf>
    <xf numFmtId="1" fontId="5" fillId="0" borderId="2" applyAlignment="1" pivotButton="0" quotePrefix="0" xfId="20">
      <alignment horizontal="general" vertical="bottom"/>
    </xf>
    <xf numFmtId="1" fontId="9" fillId="0" borderId="2" applyAlignment="1" pivotButton="0" quotePrefix="0" xfId="23">
      <alignment horizontal="general" vertical="bottom"/>
    </xf>
    <xf numFmtId="0" fontId="4" fillId="0" borderId="2" applyAlignment="1" applyProtection="1" pivotButton="0" quotePrefix="0" xfId="0">
      <alignment horizontal="general" vertical="bottom"/>
      <protection locked="0" hidden="0"/>
    </xf>
    <xf numFmtId="0" fontId="4" fillId="0" borderId="2" applyAlignment="1" applyProtection="1" pivotButton="0" quotePrefix="0" xfId="0">
      <alignment horizontal="left" vertical="bottom"/>
      <protection locked="0" hidden="0"/>
    </xf>
    <xf numFmtId="49" fontId="5" fillId="0" borderId="2" applyAlignment="1" pivotButton="0" quotePrefix="0" xfId="20">
      <alignment horizontal="general" vertical="bottom"/>
    </xf>
    <xf numFmtId="2" fontId="9" fillId="0" borderId="2" applyAlignment="1" pivotButton="0" quotePrefix="0" xfId="23">
      <alignment horizontal="general" vertical="bottom"/>
    </xf>
    <xf numFmtId="1" fontId="4" fillId="8" borderId="2" applyAlignment="1" pivotButton="0" quotePrefix="0" xfId="0">
      <alignment horizontal="left" vertical="bottom"/>
    </xf>
    <xf numFmtId="0" fontId="4" fillId="0" borderId="5" applyAlignment="1" applyProtection="1" pivotButton="0" quotePrefix="0" xfId="0">
      <alignment horizontal="left" vertical="bottom"/>
      <protection locked="0" hidden="0"/>
    </xf>
    <xf numFmtId="0" fontId="9" fillId="0" borderId="2" applyAlignment="1" pivotButton="0" quotePrefix="0" xfId="23">
      <alignment horizontal="general" vertical="bottom"/>
    </xf>
    <xf numFmtId="0" fontId="4" fillId="0" borderId="2" applyAlignment="1" applyProtection="1" pivotButton="0" quotePrefix="0" xfId="0">
      <alignment horizontal="center" vertical="bottom"/>
      <protection locked="0" hidden="0"/>
    </xf>
    <xf numFmtId="49" fontId="4" fillId="0" borderId="2" applyAlignment="1" applyProtection="1" pivotButton="0" quotePrefix="0" xfId="0">
      <alignment horizontal="left" vertical="bottom"/>
      <protection locked="0" hidden="0"/>
    </xf>
    <xf numFmtId="1" fontId="4" fillId="0" borderId="2" applyAlignment="1" applyProtection="1" pivotButton="0" quotePrefix="0" xfId="0">
      <alignment horizontal="left" vertical="bottom"/>
      <protection locked="0" hidden="0"/>
    </xf>
    <xf numFmtId="0" fontId="0" fillId="0" borderId="9" applyProtection="1" pivotButton="0" quotePrefix="0" xfId="0">
      <protection locked="0" hidden="0"/>
    </xf>
    <xf numFmtId="9" fontId="9" fillId="0" borderId="2" applyAlignment="1" pivotButton="0" quotePrefix="0" xfId="19">
      <alignment horizontal="general" vertical="bottom"/>
    </xf>
    <xf numFmtId="0" fontId="10" fillId="0" borderId="2" applyAlignment="1" pivotButton="0" quotePrefix="0" xfId="24">
      <alignment horizontal="right" vertical="bottom"/>
    </xf>
    <xf numFmtId="1" fontId="12" fillId="0" borderId="2" applyAlignment="1" pivotButton="0" quotePrefix="0" xfId="25">
      <alignment horizontal="general" vertical="bottom"/>
    </xf>
    <xf numFmtId="9" fontId="0" fillId="0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49" fontId="4" fillId="0" borderId="2" applyAlignment="1" applyProtection="1" pivotButton="0" quotePrefix="0" xfId="0">
      <alignment horizontal="center" vertical="bottom"/>
      <protection locked="0" hidden="0"/>
    </xf>
    <xf numFmtId="1" fontId="4" fillId="0" borderId="3" applyAlignment="1" applyProtection="1" pivotButton="0" quotePrefix="0" xfId="0">
      <alignment horizontal="left" vertical="bottom"/>
      <protection locked="0" hidden="0"/>
    </xf>
    <xf numFmtId="0" fontId="4" fillId="8" borderId="2" applyAlignment="1" pivotButton="0" quotePrefix="0" xfId="0">
      <alignment horizontal="center" vertical="bottom"/>
    </xf>
    <xf numFmtId="0" fontId="0" fillId="0" borderId="8" pivotButton="0" quotePrefix="0" xfId="0"/>
    <xf numFmtId="0" fontId="4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</cellXfs>
  <cellStyles count="1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Excel Built-in Good" xfId="6"/>
    <cellStyle name="Excel Built-in Input" xfId="7"/>
    <cellStyle name="Excel Built-in Neutral" xfId="8"/>
    <cellStyle name="Excel Built-in Calculation" xfId="9"/>
    <cellStyle name="Excel Built-in Bad" xfId="10"/>
    <cellStyle name="Excel Built-in Accent2" xfId="11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FFC7CE"/>
      <rgbColor rgb="FF7F7F7F"/>
      <rgbColor rgb="FF9999FF"/>
      <rgbColor rgb="FFC0504D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A7D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F3F7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M1_" displayName="M1_" ref="A1:H12" headerRowCount="1" totalsRowCount="1" totalsRowShown="1">
  <autoFilter ref="A1:H12"/>
  <tableColumns count="8">
    <tableColumn id="1" name=""/>
    <tableColumn id="2" name=""/>
    <tableColumn id="3" name=""/>
    <tableColumn id="4" name=""/>
    <tableColumn id="5" name=""/>
    <tableColumn id="6" name=""/>
    <tableColumn id="7" name=""/>
    <tableColumn id="8" name=""/>
  </tableColumns>
</table>
</file>

<file path=xl/tables/table2.xml><?xml version="1.0" encoding="utf-8"?>
<table xmlns="http://schemas.openxmlformats.org/spreadsheetml/2006/main" id="2" name="Sheet1" displayName="Sheet1" ref="A1:F304" headerRowCount="1" totalsRowCount="0" totalsRowShown="0">
  <autoFilter ref="A1:F304"/>
  <tableColumns count="6">
    <tableColumn id="1" name=""/>
    <tableColumn id="2" name=""/>
    <tableColumn id="3" name=""/>
    <tableColumn id="4" name=""/>
    <tableColumn id="5" name=""/>
    <tableColumn id="6" name="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9" activeCellId="0" sqref="A19"/>
    </sheetView>
  </sheetViews>
  <sheetFormatPr baseColWidth="8" defaultColWidth="8.6796875" defaultRowHeight="15" customHeight="1" zeroHeight="0" outlineLevelRow="0"/>
  <cols>
    <col width="11.85" customWidth="1" style="36" min="1" max="1"/>
    <col width="10.29" customWidth="1" style="36" min="2" max="2"/>
    <col width="5.57" customWidth="1" style="36" min="3" max="3"/>
    <col width="44.42" customWidth="1" style="36" min="4" max="4"/>
    <col width="6.71" customWidth="1" style="36" min="5" max="5"/>
    <col width="7" customWidth="1" style="36" min="6" max="6"/>
    <col width="7.42" customWidth="1" style="36" min="7" max="7"/>
    <col width="7.29" customWidth="1" style="36" min="8" max="8"/>
    <col width="18" customWidth="1" style="36" min="9" max="9"/>
    <col width="5.86" customWidth="1" style="36" min="11" max="11"/>
    <col width="12.42" customWidth="1" style="36" min="12" max="12"/>
    <col width="13.42" customWidth="1" style="36" min="13" max="13"/>
    <col width="13.15" customWidth="1" style="36" min="14" max="14"/>
    <col width="11.29" customWidth="1" style="36" min="15" max="15"/>
  </cols>
  <sheetData>
    <row r="1" ht="15" customHeight="1" s="37">
      <c r="A1" s="38" t="inlineStr">
        <is>
          <t>Date</t>
        </is>
      </c>
      <c r="B1" s="38" t="inlineStr">
        <is>
          <t>Cast Date</t>
        </is>
      </c>
      <c r="C1" s="38" t="inlineStr">
        <is>
          <t>Shift</t>
        </is>
      </c>
      <c r="D1" s="38" t="inlineStr">
        <is>
          <t>Shift Hours</t>
        </is>
      </c>
      <c r="E1" s="38" t="inlineStr">
        <is>
          <t>Bond</t>
        </is>
      </c>
      <c r="F1" s="39" t="n"/>
      <c r="G1" s="40" t="inlineStr">
        <is>
          <t>EFF%</t>
        </is>
      </c>
      <c r="H1" s="41" t="n"/>
      <c r="I1" s="42" t="n"/>
      <c r="J1" s="43" t="n"/>
      <c r="K1" s="42" t="n"/>
      <c r="L1" s="44" t="n"/>
      <c r="M1" s="45" t="n"/>
      <c r="N1" s="46" t="n"/>
      <c r="O1" s="47" t="n"/>
    </row>
    <row r="2" ht="16.5" customHeight="1" s="37">
      <c r="A2" s="48" t="n"/>
      <c r="B2" s="49" t="n"/>
      <c r="C2" s="38" t="n"/>
      <c r="D2" s="38" t="n"/>
      <c r="E2" s="38" t="inlineStr">
        <is>
          <t>New Sand</t>
        </is>
      </c>
      <c r="F2" s="39" t="n"/>
      <c r="G2" s="40" t="inlineStr">
        <is>
          <t>MTD%</t>
        </is>
      </c>
      <c r="H2" s="50" t="n"/>
      <c r="I2" s="51" t="n"/>
      <c r="J2" s="42" t="n"/>
      <c r="K2" s="42" t="n"/>
      <c r="L2" s="52" t="n"/>
      <c r="M2" s="45" t="n"/>
      <c r="N2" s="53" t="n"/>
      <c r="O2" s="47" t="n"/>
    </row>
    <row r="3" ht="15" customHeight="1" s="37">
      <c r="A3" s="38" t="inlineStr">
        <is>
          <t>Start</t>
        </is>
      </c>
      <c r="B3" s="38" t="inlineStr">
        <is>
          <t>Stop</t>
        </is>
      </c>
      <c r="C3" s="38" t="inlineStr">
        <is>
          <t>Time</t>
        </is>
      </c>
      <c r="D3" s="38" t="inlineStr">
        <is>
          <t>Downtime</t>
        </is>
      </c>
      <c r="E3" s="38" t="inlineStr">
        <is>
          <t>Ret South</t>
        </is>
      </c>
      <c r="F3" s="39" t="n"/>
      <c r="G3" s="54" t="n"/>
      <c r="H3" s="55" t="inlineStr">
        <is>
          <t>Target Time</t>
        </is>
      </c>
      <c r="I3" s="56" t="n"/>
      <c r="J3" s="43" t="n"/>
      <c r="K3" s="52" t="n"/>
      <c r="L3" s="57" t="n"/>
      <c r="M3" s="45" t="n"/>
      <c r="N3" s="46" t="n"/>
      <c r="O3" s="47" t="n"/>
    </row>
    <row r="4" ht="15" customHeight="1" s="37">
      <c r="A4" s="49" t="n"/>
      <c r="B4" s="49" t="n"/>
      <c r="C4" s="49" t="n"/>
      <c r="D4" s="58" t="n"/>
      <c r="E4" s="38" t="inlineStr">
        <is>
          <t>Ret North</t>
        </is>
      </c>
      <c r="F4" s="39" t="n"/>
      <c r="G4" s="59" t="inlineStr">
        <is>
          <t>Surge</t>
        </is>
      </c>
      <c r="H4" s="55" t="inlineStr"/>
      <c r="I4" s="56" t="n"/>
      <c r="J4" s="43" t="n"/>
      <c r="K4" s="52" t="n"/>
      <c r="L4" s="57" t="n"/>
      <c r="M4" s="45" t="n"/>
      <c r="N4" s="60" t="n"/>
      <c r="O4" s="47" t="n"/>
    </row>
    <row r="5" ht="15" customHeight="1" s="37">
      <c r="A5" s="38" t="inlineStr">
        <is>
          <t>Start Time</t>
        </is>
      </c>
      <c r="B5" s="38" t="inlineStr">
        <is>
          <t>TOT MIN</t>
        </is>
      </c>
      <c r="C5" s="38" t="inlineStr">
        <is>
          <t>Code</t>
        </is>
      </c>
      <c r="D5" s="61" t="inlineStr">
        <is>
          <t>Cause</t>
        </is>
      </c>
      <c r="E5" s="38" t="inlineStr">
        <is>
          <t>MPH Goal</t>
        </is>
      </c>
      <c r="F5" s="39" t="n"/>
      <c r="G5" s="40" t="n"/>
      <c r="H5" s="38" t="n"/>
      <c r="I5" s="56" t="n"/>
      <c r="J5" s="43" t="n"/>
      <c r="K5" s="52" t="n"/>
      <c r="L5" s="57" t="n"/>
      <c r="M5" s="45" t="n"/>
      <c r="N5" s="46" t="n"/>
      <c r="O5" s="47" t="n"/>
    </row>
    <row r="6" ht="26.25" customHeight="1" s="37">
      <c r="A6" s="62" t="n"/>
      <c r="B6" s="63" t="n"/>
      <c r="C6" s="38" t="n"/>
      <c r="D6" s="62" t="n"/>
      <c r="E6" s="64" t="n"/>
      <c r="F6" s="64" t="n"/>
      <c r="G6" s="39" t="n"/>
      <c r="H6" s="62" t="n"/>
      <c r="I6" s="56" t="n"/>
      <c r="J6" s="43" t="n"/>
      <c r="K6" s="52" t="n"/>
      <c r="L6" s="57" t="n"/>
      <c r="M6" s="45" t="n"/>
      <c r="N6" s="60" t="n"/>
      <c r="O6" s="47" t="n"/>
    </row>
    <row r="7" ht="26.25" customHeight="1" s="37">
      <c r="A7" s="62" t="n"/>
      <c r="B7" s="63" t="n"/>
      <c r="C7" s="38" t="n"/>
      <c r="D7" s="62" t="n"/>
      <c r="E7" s="64" t="n"/>
      <c r="F7" s="64" t="n"/>
      <c r="G7" s="39" t="n"/>
      <c r="H7" s="62" t="n"/>
      <c r="I7" s="56" t="n"/>
      <c r="J7" s="43" t="n"/>
      <c r="K7" s="52" t="n"/>
      <c r="L7" s="57" t="n"/>
      <c r="M7" s="45" t="n"/>
      <c r="N7" s="46" t="n"/>
      <c r="O7" s="47" t="n"/>
    </row>
    <row r="8" ht="26.25" customHeight="1" s="37">
      <c r="A8" s="62" t="n"/>
      <c r="B8" s="63" t="n"/>
      <c r="C8" s="38" t="n"/>
      <c r="D8" s="62" t="n"/>
      <c r="E8" s="64" t="n"/>
      <c r="F8" s="64" t="n"/>
      <c r="G8" s="39" t="n"/>
      <c r="H8" s="62" t="n"/>
      <c r="I8" s="56" t="n"/>
      <c r="J8" s="43" t="n"/>
      <c r="K8" s="52" t="n"/>
      <c r="L8" s="57" t="n"/>
      <c r="M8" s="45" t="n"/>
      <c r="N8" s="65" t="n"/>
      <c r="O8" s="47" t="n"/>
    </row>
    <row r="9" ht="26.25" customHeight="1" s="37">
      <c r="A9" s="62" t="n"/>
      <c r="B9" s="63" t="n"/>
      <c r="C9" s="38" t="n"/>
      <c r="D9" s="62" t="n"/>
      <c r="E9" s="64" t="n"/>
      <c r="F9" s="64" t="n"/>
      <c r="G9" s="39" t="n"/>
      <c r="H9" s="62" t="n"/>
      <c r="I9" s="56" t="n"/>
      <c r="J9" s="43" t="n"/>
      <c r="K9" s="52" t="n"/>
      <c r="L9" s="57" t="n"/>
      <c r="M9" s="45" t="n"/>
      <c r="N9" s="66" t="n"/>
      <c r="O9" s="47" t="n"/>
    </row>
    <row r="10" ht="26.25" customHeight="1" s="37">
      <c r="A10" s="62" t="n"/>
      <c r="B10" s="63" t="n"/>
      <c r="C10" s="38" t="n"/>
      <c r="D10" s="62" t="n"/>
      <c r="E10" s="64" t="n"/>
      <c r="F10" s="64" t="n"/>
      <c r="G10" s="39" t="n"/>
      <c r="H10" s="62" t="n"/>
      <c r="I10" s="56" t="n"/>
      <c r="J10" s="43" t="n"/>
      <c r="K10" s="52" t="n"/>
      <c r="L10" s="57" t="n"/>
      <c r="M10" s="45" t="n"/>
      <c r="N10" s="66" t="n"/>
      <c r="O10" s="47" t="n"/>
    </row>
    <row r="11" ht="26.25" customHeight="1" s="37">
      <c r="A11" s="62" t="n"/>
      <c r="B11" s="63" t="n"/>
      <c r="C11" s="38" t="n"/>
      <c r="D11" s="62" t="n"/>
      <c r="E11" s="64" t="n"/>
      <c r="F11" s="64" t="n"/>
      <c r="G11" s="39" t="n"/>
      <c r="H11" s="62" t="n"/>
      <c r="I11" s="47" t="n"/>
      <c r="J11" s="47" t="n"/>
      <c r="K11" s="47" t="n"/>
      <c r="L11" s="45" t="n"/>
      <c r="M11" s="45" t="n"/>
      <c r="N11" s="67" t="n"/>
      <c r="O11" s="68" t="n"/>
    </row>
    <row r="12" ht="26.25" customHeight="1" s="37">
      <c r="A12" s="62" t="n"/>
      <c r="B12" s="63" t="n"/>
      <c r="C12" s="38" t="n"/>
      <c r="D12" s="62" t="n"/>
      <c r="E12" s="64" t="n"/>
      <c r="F12" s="64" t="n"/>
      <c r="G12" s="39" t="n"/>
      <c r="H12" s="62" t="n"/>
      <c r="I12" s="42" t="n"/>
      <c r="J12" s="43" t="n"/>
      <c r="K12" s="42" t="n"/>
      <c r="L12" s="53" t="n"/>
      <c r="M12" s="45" t="n"/>
      <c r="N12" s="47" t="n"/>
      <c r="O12" s="68" t="n"/>
    </row>
    <row r="13" ht="26.25" customHeight="1" s="37">
      <c r="A13" s="62" t="n"/>
      <c r="B13" s="63" t="n"/>
      <c r="C13" s="38" t="n"/>
      <c r="D13" s="62" t="n"/>
      <c r="E13" s="64" t="n"/>
      <c r="F13" s="64" t="n"/>
      <c r="G13" s="39" t="n"/>
      <c r="H13" s="62" t="n"/>
      <c r="I13" s="42" t="n"/>
      <c r="J13" s="43" t="n"/>
      <c r="K13" s="42" t="n"/>
      <c r="L13" s="53" t="n"/>
      <c r="M13" s="45" t="n"/>
      <c r="N13" s="47" t="n"/>
      <c r="O13" s="47" t="n"/>
    </row>
    <row r="14" ht="26.25" customHeight="1" s="37">
      <c r="A14" s="62" t="n"/>
      <c r="B14" s="63" t="n"/>
      <c r="C14" s="38" t="n"/>
      <c r="D14" s="62" t="n"/>
      <c r="E14" s="64" t="n"/>
      <c r="F14" s="64" t="n"/>
      <c r="G14" s="39" t="n"/>
      <c r="H14" s="62" t="n"/>
      <c r="I14" s="42" t="n"/>
      <c r="J14" s="43" t="n"/>
      <c r="K14" s="42" t="n"/>
      <c r="L14" s="53" t="n"/>
      <c r="M14" s="45" t="n"/>
      <c r="N14" s="69" t="n"/>
      <c r="O14" s="47" t="n"/>
    </row>
    <row r="15" ht="26.25" customHeight="1" s="37">
      <c r="A15" s="62" t="n"/>
      <c r="B15" s="63" t="n"/>
      <c r="C15" s="38" t="n"/>
      <c r="D15" s="62" t="n"/>
      <c r="E15" s="64" t="n"/>
      <c r="F15" s="64" t="n"/>
      <c r="G15" s="39" t="n"/>
      <c r="H15" s="62" t="n"/>
    </row>
    <row r="16" ht="26.25" customHeight="1" s="37">
      <c r="A16" s="62" t="n"/>
      <c r="B16" s="63" t="n"/>
      <c r="C16" s="38" t="n"/>
      <c r="D16" s="62" t="n"/>
      <c r="E16" s="64" t="n"/>
      <c r="F16" s="64" t="n"/>
      <c r="G16" s="39" t="n"/>
      <c r="H16" s="62" t="n"/>
    </row>
    <row r="17" ht="26.25" customHeight="1" s="37">
      <c r="A17" s="38" t="n"/>
      <c r="B17" s="63" t="n"/>
      <c r="C17" s="38" t="n"/>
      <c r="D17" s="38" t="n"/>
      <c r="E17" s="64" t="n"/>
      <c r="F17" s="64" t="n"/>
      <c r="G17" s="39" t="n"/>
      <c r="H17" s="38" t="n"/>
    </row>
    <row r="18" ht="15" customHeight="1" s="37">
      <c r="A18" s="38" t="inlineStr">
        <is>
          <t>Shop Order</t>
        </is>
      </c>
      <c r="B18" s="38" t="n"/>
      <c r="C18" s="38" t="n"/>
      <c r="D18" s="38" t="n"/>
      <c r="E18" s="38" t="inlineStr">
        <is>
          <t>Part Number</t>
        </is>
      </c>
      <c r="F18" s="39" t="n"/>
      <c r="G18" s="40" t="inlineStr">
        <is>
          <t>Molds</t>
        </is>
      </c>
      <c r="H18" s="38" t="n"/>
    </row>
    <row r="19" ht="15" customHeight="1" s="37">
      <c r="A19" s="62" t="n"/>
      <c r="B19" s="38" t="n"/>
      <c r="C19" s="38" t="n"/>
      <c r="D19" s="38" t="n"/>
      <c r="E19" s="70" t="n"/>
      <c r="F19" s="39" t="n"/>
      <c r="G19" s="71" t="n"/>
      <c r="H19" s="38" t="n"/>
    </row>
    <row r="20" ht="15" customHeight="1" s="37">
      <c r="A20" s="62" t="n"/>
      <c r="B20" s="38" t="n"/>
      <c r="C20" s="38" t="n"/>
      <c r="D20" s="38" t="n"/>
      <c r="E20" s="62" t="n"/>
      <c r="F20" s="39" t="n"/>
      <c r="G20" s="71" t="n"/>
      <c r="H20" s="38" t="n"/>
    </row>
    <row r="21" ht="15" customHeight="1" s="37">
      <c r="A21" s="62" t="n"/>
      <c r="B21" s="38" t="n"/>
      <c r="C21" s="38" t="n"/>
      <c r="D21" s="38" t="n"/>
      <c r="E21" s="62" t="n"/>
      <c r="F21" s="39" t="n"/>
      <c r="G21" s="71" t="n"/>
      <c r="H21" s="38" t="n"/>
    </row>
    <row r="22" ht="15" customHeight="1" s="37">
      <c r="A22" s="62" t="n"/>
      <c r="B22" s="38" t="n"/>
      <c r="C22" s="38" t="n"/>
      <c r="D22" s="38" t="n"/>
      <c r="E22" s="62" t="n"/>
      <c r="F22" s="39" t="n"/>
      <c r="G22" s="71" t="n"/>
      <c r="H22" s="38" t="n"/>
    </row>
    <row r="23" ht="15" customHeight="1" s="37">
      <c r="A23" s="62" t="n"/>
      <c r="B23" s="38" t="n"/>
      <c r="C23" s="38" t="n"/>
      <c r="D23" s="38" t="n"/>
      <c r="E23" s="62" t="n"/>
      <c r="F23" s="39" t="n"/>
      <c r="G23" s="71" t="n"/>
      <c r="H23" s="38" t="n"/>
    </row>
    <row r="24" ht="15" customHeight="1" s="37">
      <c r="A24" s="62" t="n"/>
      <c r="B24" s="38" t="n"/>
      <c r="C24" s="38" t="n"/>
      <c r="D24" s="38" t="n"/>
      <c r="E24" s="62" t="n"/>
      <c r="F24" s="39" t="n"/>
      <c r="G24" s="71" t="n"/>
      <c r="H24" s="38" t="n"/>
    </row>
    <row r="25" ht="15" customHeight="1" s="37">
      <c r="A25" s="62" t="n"/>
      <c r="B25" s="38" t="n"/>
      <c r="C25" s="38" t="n"/>
      <c r="D25" s="38" t="n"/>
      <c r="E25" s="62" t="n"/>
      <c r="F25" s="39" t="n"/>
      <c r="G25" s="71" t="n"/>
      <c r="H25" s="38" t="n"/>
    </row>
    <row r="26" ht="15" customHeight="1" s="37">
      <c r="A26" s="62" t="n"/>
      <c r="B26" s="38" t="n"/>
      <c r="C26" s="38" t="n"/>
      <c r="D26" s="38" t="n"/>
      <c r="E26" s="62" t="n"/>
      <c r="F26" s="39" t="n"/>
      <c r="G26" s="71" t="n"/>
      <c r="H26" s="38" t="n"/>
    </row>
    <row r="27" ht="15" customHeight="1" s="37">
      <c r="A27" s="62" t="n"/>
      <c r="B27" s="38" t="n"/>
      <c r="C27" s="38" t="n"/>
      <c r="D27" s="38" t="n"/>
      <c r="E27" s="38" t="n"/>
      <c r="F27" s="39" t="n"/>
      <c r="G27" s="40" t="inlineStr">
        <is>
          <t>Total Molds</t>
        </is>
      </c>
      <c r="H27" s="38" t="n"/>
    </row>
    <row r="28" ht="15" customHeight="1" s="37">
      <c r="A28" s="38" t="inlineStr">
        <is>
          <t>Totals</t>
        </is>
      </c>
      <c r="B28" s="38" t="n"/>
      <c r="C28" s="38" t="n"/>
      <c r="D28" s="38" t="n"/>
      <c r="E28" s="38" t="n"/>
      <c r="F28" s="39" t="n"/>
      <c r="G28" s="72" t="n"/>
      <c r="H28" s="73" t="n"/>
    </row>
    <row r="29" ht="15" customHeight="1" s="37">
      <c r="A29" s="74" t="inlineStr">
        <is>
          <t>No Iron Due to Cupola</t>
        </is>
      </c>
      <c r="B29" s="74" t="n"/>
      <c r="C29" s="74" t="n">
        <v>1</v>
      </c>
      <c r="D29" s="74" t="inlineStr">
        <is>
          <t>Misc Reason for Down Time</t>
        </is>
      </c>
      <c r="E29" s="74" t="n"/>
      <c r="F29" s="74" t="n">
        <v>6</v>
      </c>
      <c r="G29" s="74" t="n"/>
      <c r="H29" s="74" t="n"/>
    </row>
    <row r="30" ht="15" customHeight="1" s="37">
      <c r="A30" s="74" t="inlineStr">
        <is>
          <t>No Iron Due to Transfer</t>
        </is>
      </c>
      <c r="B30" s="74" t="n"/>
      <c r="C30" s="74" t="n">
        <v>2</v>
      </c>
      <c r="D30" s="74" t="inlineStr">
        <is>
          <t>Machine Repairs</t>
        </is>
      </c>
      <c r="E30" s="74" t="n"/>
      <c r="F30" s="74" t="n">
        <v>7</v>
      </c>
      <c r="G30" s="74" t="n"/>
      <c r="H30" s="74" t="n"/>
    </row>
    <row r="31" ht="15" customHeight="1" s="37">
      <c r="A31" s="74" t="inlineStr">
        <is>
          <t>Auto Pour Problems</t>
        </is>
      </c>
      <c r="B31" s="74" t="n"/>
      <c r="C31" s="74" t="n">
        <v>3</v>
      </c>
      <c r="D31" s="74" t="inlineStr">
        <is>
          <t>AMC, SBC, Shakeout Problem</t>
        </is>
      </c>
      <c r="E31" s="74" t="n"/>
      <c r="F31" s="74" t="n">
        <v>8</v>
      </c>
      <c r="G31" s="74" t="n"/>
      <c r="H31" s="74" t="n"/>
    </row>
    <row r="32" ht="15" customHeight="1" s="37">
      <c r="A32" s="74" t="inlineStr">
        <is>
          <t>Inoculator Problems</t>
        </is>
      </c>
      <c r="B32" s="74" t="n"/>
      <c r="C32" s="74" t="n">
        <v>4</v>
      </c>
      <c r="D32" s="74" t="inlineStr">
        <is>
          <t>Pattern Change</t>
        </is>
      </c>
      <c r="E32" s="74" t="n"/>
      <c r="F32" s="74" t="n">
        <v>9</v>
      </c>
      <c r="G32" s="74" t="n"/>
      <c r="H32" s="74" t="n"/>
    </row>
    <row r="33" ht="15" customHeight="1" s="37">
      <c r="A33" s="74" t="inlineStr">
        <is>
          <t>No Sand</t>
        </is>
      </c>
      <c r="B33" s="74" t="n"/>
      <c r="C33" s="74" t="n">
        <v>5</v>
      </c>
      <c r="D33" s="74" t="inlineStr">
        <is>
          <t>Pattern Repair</t>
        </is>
      </c>
      <c r="E33" s="74" t="n"/>
      <c r="F33" s="74" t="n">
        <v>10</v>
      </c>
      <c r="G33" s="74" t="n"/>
      <c r="H33" s="74" t="n"/>
    </row>
    <row r="34" ht="15.75" customHeight="1" s="37">
      <c r="A34" s="74" t="n"/>
      <c r="B34" s="74" t="n"/>
      <c r="C34" s="74" t="n"/>
      <c r="D34" s="74" t="n"/>
      <c r="E34" s="74" t="n"/>
      <c r="F34" s="74" t="n"/>
      <c r="G34" s="74" t="n"/>
      <c r="H34" s="74" t="n"/>
    </row>
  </sheetData>
  <mergeCells count="29">
    <mergeCell ref="D9:G9"/>
    <mergeCell ref="D12:G12"/>
    <mergeCell ref="E24:F24"/>
    <mergeCell ref="D8:G8"/>
    <mergeCell ref="E5:F5"/>
    <mergeCell ref="E23:F23"/>
    <mergeCell ref="D15:G15"/>
    <mergeCell ref="D14:G14"/>
    <mergeCell ref="E4:F4"/>
    <mergeCell ref="E20:F20"/>
    <mergeCell ref="E1:F1"/>
    <mergeCell ref="E19:F19"/>
    <mergeCell ref="E28:F28"/>
    <mergeCell ref="G28:H28"/>
    <mergeCell ref="D10:G10"/>
    <mergeCell ref="E2:F2"/>
    <mergeCell ref="D6:G6"/>
    <mergeCell ref="E27:F27"/>
    <mergeCell ref="D11:G11"/>
    <mergeCell ref="D13:G13"/>
    <mergeCell ref="E26:F26"/>
    <mergeCell ref="D17:G17"/>
    <mergeCell ref="E25:F25"/>
    <mergeCell ref="D16:G16"/>
    <mergeCell ref="D7:G7"/>
    <mergeCell ref="E22:F22"/>
    <mergeCell ref="E18:F18"/>
    <mergeCell ref="E3:F3"/>
    <mergeCell ref="E21:F21"/>
  </mergeCells>
  <printOptions horizontalCentered="0" verticalCentered="0" headings="0" gridLines="0" gridLinesSet="1"/>
  <pageMargins left="0.25" right="0.25" top="0.75" bottom="0.75" header="0.3" footer="0.3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&amp;C&amp;"Calibri,Bold"&amp;14 Disamatic Production</oddHeader>
    <oddFooter>&amp;LGLC Form 510-09 Rev: 10/12/2025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D2:D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11" activeCellId="0" sqref="G11"/>
    </sheetView>
  </sheetViews>
  <sheetFormatPr baseColWidth="8" defaultColWidth="8.6796875" defaultRowHeight="15" customHeight="0" zeroHeight="0" outlineLevelRow="0"/>
  <cols>
    <col width="32.57" customWidth="1" style="36" min="1" max="1"/>
    <col width="8" customWidth="1" style="36" min="2" max="2"/>
    <col width="7.42" customWidth="1" style="36" min="3" max="3"/>
    <col width="17.29" customWidth="1" style="36" min="4" max="4"/>
    <col width="7.29" customWidth="1" style="36" min="5" max="5"/>
    <col width="9.289999999999999" customWidth="1" style="36" min="6" max="6"/>
    <col width="12" customWidth="1" style="36" min="7" max="7"/>
    <col width="14.57" customWidth="1" style="36" min="8" max="8"/>
  </cols>
  <sheetData>
    <row r="2" ht="15" customHeight="1" s="37">
      <c r="D2" s="75" t="n"/>
    </row>
    <row r="3" ht="15" customHeight="1" s="37">
      <c r="D3" s="75" t="n"/>
    </row>
    <row r="4" ht="15" customHeight="1" s="37">
      <c r="D4" s="75" t="n"/>
    </row>
    <row r="5" ht="15" customHeight="1" s="37">
      <c r="D5" s="75" t="n"/>
    </row>
    <row r="6" ht="15" customHeight="1" s="37">
      <c r="D6" s="75" t="n"/>
    </row>
    <row r="7" ht="15" customHeight="1" s="37">
      <c r="D7" s="75" t="n"/>
    </row>
    <row r="8" ht="15" customHeight="1" s="37">
      <c r="D8" s="75" t="n"/>
    </row>
    <row r="9" ht="15" customHeight="1" s="37">
      <c r="D9" s="75" t="n"/>
    </row>
    <row r="10" ht="15" customHeight="1" s="37">
      <c r="D10" s="75" t="n"/>
    </row>
    <row r="11" ht="15" customHeight="1" s="37">
      <c r="D11" s="75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.29" customWidth="1" style="36" min="1" max="1"/>
    <col width="11.14" customWidth="1" style="36" min="2" max="6"/>
  </cols>
  <sheetData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8.6796875" defaultRowHeight="15" customHeight="0" zeroHeight="0" outlineLevelRow="0"/>
  <sheetData>
    <row r="1" ht="15" customHeight="1" s="37">
      <c r="A1" s="36">
        <f t="array" ref="A1:A1">CELL("filename")</f>
        <v/>
      </c>
    </row>
    <row r="2" ht="15" customHeight="1" s="37">
      <c r="A2" s="36">
        <f>MID(A1,FIND("[",A1)+1,FIND("]",A1)-FIND("[",A1)-1)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en-US</dc:language>
  <dcterms:created xsi:type="dcterms:W3CDTF">2026-04-03T16:00:18Z</dcterms:created>
  <dcterms:modified xsi:type="dcterms:W3CDTF">2026-04-05T15:00:43Z</dcterms:modified>
  <cp:revision>1</cp:revision>
  <cp:lastPrinted>2025-09-28T10:39:28Z</cp:lastPrinted>
</cp:coreProperties>
</file>