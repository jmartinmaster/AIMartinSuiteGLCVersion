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Production Sheet" sheetId="1" state="visible" r:id="rId1"/>
    <sheet name="M1" sheetId="2" state="visible" r:id="rId2"/>
    <sheet name="Sheet1" sheetId="3" state="visible" r:id="rId3"/>
    <sheet name="CurrentFileName" sheetId="4" state="hidden" r:id="rId4"/>
  </sheets>
  <definedNames>
    <definedName name="CurrentFileName">CurrentFileName!$A$2</definedName>
    <definedName name="_xlnm.Print_Area" localSheetId="0">'Production Sheet'!$A$1:$H$34</definedName>
    <definedName name="ExternalData_1" localSheetId="1" hidden="1">'M1'!$A$1:$H$11</definedName>
    <definedName name="ExternalData_1" localSheetId="2" hidden="1">Sheet1!$A$1:$F$304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;[Red]0"/>
  </numFmts>
  <fonts count="11">
    <font>
      <name val="Calibri"/>
      <family val="2"/>
      <color theme="1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color theme="0"/>
      <sz val="12"/>
      <scheme val="minor"/>
    </font>
  </fonts>
  <fills count="9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0" tint="-0.1499679555650502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0" fontId="6" fillId="0" borderId="0"/>
    <xf numFmtId="0" fontId="1" fillId="2" borderId="0"/>
    <xf numFmtId="0" fontId="2" fillId="3" borderId="0"/>
    <xf numFmtId="0" fontId="3" fillId="4" borderId="0"/>
    <xf numFmtId="0" fontId="4" fillId="5" borderId="1"/>
    <xf numFmtId="0" fontId="5" fillId="6" borderId="1"/>
    <xf numFmtId="9" fontId="6" fillId="0" borderId="0"/>
    <xf numFmtId="0" fontId="8" fillId="7" borderId="0"/>
  </cellStyleXfs>
  <cellXfs count="49">
    <xf numFmtId="0" fontId="0" fillId="0" borderId="0" pivotButton="0" quotePrefix="0" xfId="0"/>
    <xf numFmtId="0" fontId="9" fillId="0" borderId="2" applyAlignment="1" applyProtection="1" pivotButton="0" quotePrefix="0" xfId="0">
      <alignment horizontal="left"/>
      <protection locked="0" hidden="0"/>
    </xf>
    <xf numFmtId="0" fontId="9" fillId="0" borderId="2" applyAlignment="1" applyProtection="1" pivotButton="0" quotePrefix="0" xfId="0">
      <alignment horizontal="center"/>
      <protection locked="0" hidden="0"/>
    </xf>
    <xf numFmtId="1" fontId="9" fillId="0" borderId="2" applyAlignment="1" applyProtection="1" pivotButton="0" quotePrefix="0" xfId="0">
      <alignment horizontal="left"/>
      <protection locked="0" hidden="0"/>
    </xf>
    <xf numFmtId="0" fontId="9" fillId="0" borderId="3" applyAlignment="1" applyProtection="1" pivotButton="0" quotePrefix="0" xfId="0">
      <alignment horizontal="left"/>
      <protection locked="0" hidden="0"/>
    </xf>
    <xf numFmtId="0" fontId="9" fillId="0" borderId="4" applyAlignment="1" applyProtection="1" pivotButton="0" quotePrefix="0" xfId="0">
      <alignment horizontal="left"/>
      <protection locked="0" hidden="0"/>
    </xf>
    <xf numFmtId="0" fontId="9" fillId="0" borderId="0" pivotButton="0" quotePrefix="0" xfId="0"/>
    <xf numFmtId="9" fontId="0" fillId="8" borderId="2" pivotButton="0" quotePrefix="0" xfId="0"/>
    <xf numFmtId="49" fontId="9" fillId="0" borderId="2" applyAlignment="1" applyProtection="1" pivotButton="0" quotePrefix="0" xfId="0">
      <alignment horizontal="left"/>
      <protection locked="0" hidden="0"/>
    </xf>
    <xf numFmtId="0" fontId="9" fillId="0" borderId="2" applyProtection="1" pivotButton="0" quotePrefix="0" xfId="0">
      <protection locked="0" hidden="0"/>
    </xf>
    <xf numFmtId="0" fontId="1" fillId="0" borderId="2" pivotButton="0" quotePrefix="0" xfId="1"/>
    <xf numFmtId="0" fontId="4" fillId="0" borderId="2" pivotButton="0" quotePrefix="0" xfId="4"/>
    <xf numFmtId="1" fontId="3" fillId="0" borderId="2" pivotButton="0" quotePrefix="0" xfId="3"/>
    <xf numFmtId="2" fontId="0" fillId="0" borderId="2" pivotButton="0" quotePrefix="0" xfId="0"/>
    <xf numFmtId="0" fontId="1" fillId="0" borderId="2" applyAlignment="1" pivotButton="0" quotePrefix="0" xfId="1">
      <alignment horizontal="right"/>
    </xf>
    <xf numFmtId="0" fontId="1" fillId="0" borderId="2" applyAlignment="1" pivotButton="0" quotePrefix="0" xfId="1">
      <alignment horizontal="left" vertical="top" wrapText="1"/>
    </xf>
    <xf numFmtId="1" fontId="1" fillId="0" borderId="2" pivotButton="0" quotePrefix="0" xfId="1"/>
    <xf numFmtId="1" fontId="5" fillId="0" borderId="2" pivotButton="0" quotePrefix="0" xfId="5"/>
    <xf numFmtId="49" fontId="1" fillId="0" borderId="2" pivotButton="0" quotePrefix="0" xfId="1"/>
    <xf numFmtId="0" fontId="5" fillId="0" borderId="2" pivotButton="0" quotePrefix="0" xfId="5"/>
    <xf numFmtId="9" fontId="5" fillId="0" borderId="2" pivotButton="0" quotePrefix="0" xfId="6"/>
    <xf numFmtId="0" fontId="2" fillId="0" borderId="2" applyAlignment="1" pivotButton="0" quotePrefix="0" xfId="2">
      <alignment horizontal="right"/>
    </xf>
    <xf numFmtId="0" fontId="0" fillId="0" borderId="2" pivotButton="0" quotePrefix="0" xfId="0"/>
    <xf numFmtId="1" fontId="7" fillId="0" borderId="2" pivotButton="0" quotePrefix="0" xfId="7"/>
    <xf numFmtId="164" fontId="0" fillId="0" borderId="2" pivotButton="0" quotePrefix="0" xfId="0"/>
    <xf numFmtId="9" fontId="0" fillId="0" borderId="2" pivotButton="0" quotePrefix="0" xfId="0"/>
    <xf numFmtId="14" fontId="0" fillId="0" borderId="0" pivotButton="0" quotePrefix="0" xfId="0"/>
    <xf numFmtId="1" fontId="9" fillId="8" borderId="2" applyAlignment="1" pivotButton="0" quotePrefix="0" xfId="0">
      <alignment horizontal="left"/>
    </xf>
    <xf numFmtId="0" fontId="9" fillId="8" borderId="2" applyAlignment="1" pivotButton="0" quotePrefix="0" xfId="0">
      <alignment horizontal="left"/>
    </xf>
    <xf numFmtId="14" fontId="9" fillId="8" borderId="2" applyAlignment="1" pivotButton="0" quotePrefix="0" xfId="0">
      <alignment horizontal="left"/>
    </xf>
    <xf numFmtId="1" fontId="9" fillId="0" borderId="3" applyAlignment="1" applyProtection="1" pivotButton="0" quotePrefix="0" xfId="0">
      <alignment horizontal="left"/>
      <protection locked="0" hidden="0"/>
    </xf>
    <xf numFmtId="9" fontId="10" fillId="0" borderId="5" applyAlignment="1" pivotButton="0" quotePrefix="0" xfId="0">
      <alignment horizontal="left"/>
    </xf>
    <xf numFmtId="0" fontId="4" fillId="0" borderId="2" pivotButton="0" quotePrefix="0" xfId="4"/>
    <xf numFmtId="2" fontId="5" fillId="0" borderId="2" pivotButton="0" quotePrefix="0" xfId="5"/>
    <xf numFmtId="0" fontId="9" fillId="0" borderId="3" applyAlignment="1" applyProtection="1" pivotButton="0" quotePrefix="0" xfId="0">
      <alignment horizontal="left"/>
      <protection locked="0" hidden="0"/>
    </xf>
    <xf numFmtId="0" fontId="9" fillId="0" borderId="6" applyAlignment="1" applyProtection="1" pivotButton="0" quotePrefix="0" xfId="0">
      <alignment horizontal="left"/>
      <protection locked="0" hidden="0"/>
    </xf>
    <xf numFmtId="0" fontId="9" fillId="0" borderId="7" applyAlignment="1" applyProtection="1" pivotButton="0" quotePrefix="0" xfId="0">
      <alignment horizontal="left"/>
      <protection locked="0" hidden="0"/>
    </xf>
    <xf numFmtId="49" fontId="9" fillId="0" borderId="3" applyAlignment="1" applyProtection="1" pivotButton="0" quotePrefix="0" xfId="0">
      <alignment horizontal="left"/>
      <protection locked="0" hidden="0"/>
    </xf>
    <xf numFmtId="49" fontId="9" fillId="0" borderId="7" applyAlignment="1" applyProtection="1" pivotButton="0" quotePrefix="0" xfId="0">
      <alignment horizontal="left"/>
      <protection locked="0" hidden="0"/>
    </xf>
    <xf numFmtId="49" fontId="9" fillId="0" borderId="6" applyAlignment="1" applyProtection="1" pivotButton="0" quotePrefix="0" xfId="0">
      <alignment horizontal="left"/>
      <protection locked="0" hidden="0"/>
    </xf>
    <xf numFmtId="0" fontId="9" fillId="8" borderId="3" applyAlignment="1" pivotButton="0" quotePrefix="0" xfId="0">
      <alignment horizontal="center"/>
    </xf>
    <xf numFmtId="0" fontId="9" fillId="8" borderId="6" applyAlignment="1" pivotButton="0" quotePrefix="0" xfId="0">
      <alignment horizontal="center"/>
    </xf>
    <xf numFmtId="49" fontId="9" fillId="0" borderId="3" applyAlignment="1" applyProtection="1" pivotButton="0" quotePrefix="0" xfId="0">
      <alignment horizontal="center"/>
      <protection locked="0" hidden="0"/>
    </xf>
    <xf numFmtId="49" fontId="9" fillId="0" borderId="6" applyAlignment="1" applyProtection="1" pivotButton="0" quotePrefix="0" xfId="0">
      <alignment horizontal="center"/>
      <protection locked="0" hidden="0"/>
    </xf>
    <xf numFmtId="0" fontId="0" fillId="0" borderId="6" applyProtection="1" pivotButton="0" quotePrefix="0" xfId="0">
      <protection locked="0" hidden="0"/>
    </xf>
    <xf numFmtId="0" fontId="0" fillId="0" borderId="7" applyProtection="1" pivotButton="0" quotePrefix="0" xfId="0">
      <protection locked="0" hidden="0"/>
    </xf>
    <xf numFmtId="49" fontId="9" fillId="0" borderId="2" applyAlignment="1" applyProtection="1" pivotButton="0" quotePrefix="0" xfId="0">
      <alignment horizontal="center"/>
      <protection locked="0" hidden="0"/>
    </xf>
    <xf numFmtId="0" fontId="9" fillId="8" borderId="2" applyAlignment="1" pivotButton="0" quotePrefix="0" xfId="0">
      <alignment horizontal="center"/>
    </xf>
    <xf numFmtId="0" fontId="0" fillId="0" borderId="6" pivotButton="0" quotePrefix="0" xfId="0"/>
  </cellXfs>
  <cellStyles count="8">
    <cellStyle name="Normal" xfId="0" builtinId="0"/>
    <cellStyle name="Good" xfId="1" builtinId="26"/>
    <cellStyle name="Bad" xfId="2" builtinId="27"/>
    <cellStyle name="Neutral" xfId="3" builtinId="28"/>
    <cellStyle name="Input" xfId="4" builtinId="20"/>
    <cellStyle name="Calculation" xfId="5" builtinId="22"/>
    <cellStyle name="Percent" xfId="6" builtinId="5"/>
    <cellStyle name="Accent2" xfId="7" builtinId="33"/>
  </cellStyles>
  <dxfs count="4"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/Relationships>
</file>

<file path=xl/comments/comment1.xml><?xml version="1.0" encoding="utf-8"?>
<comments xmlns="http://schemas.openxmlformats.org/spreadsheetml/2006/main">
  <authors>
    <author>tc={85BBB53C-D59B-40E7-A109-2ECC4A027A8C}</author>
  </authors>
  <commentList>
    <comment ref="K2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time of changeovers</t>
      </text>
    </comment>
  </commentList>
</comments>
</file>

<file path=xl/tables/table1.xml><?xml version="1.0" encoding="utf-8"?>
<table xmlns="http://schemas.openxmlformats.org/spreadsheetml/2006/main" id="1" name="M1_" displayName="M1_" ref="A1:H12" tableType="queryTable" headerRowCount="1" totalsRowCount="1">
  <autoFilter ref="A1:H11"/>
  <tableColumns count="8">
    <tableColumn id="1" uniqueName="1" name="Name" queryTableFieldId="1" dataDxfId="3"/>
    <tableColumn id="2" uniqueName="2" name="Tail" queryTableFieldId="2" dataDxfId="2"/>
    <tableColumn id="3" uniqueName="3" name="Shift" queryTableFieldId="3"/>
    <tableColumn id="4" uniqueName="4" name="ProductionDate" queryTableFieldId="4" dataDxfId="0"/>
    <tableColumn id="5" uniqueName="5" name="Year" queryTableFieldId="5"/>
    <tableColumn id="6" uniqueName="6" name="Month" queryTableFieldId="6"/>
    <tableColumn id="7" uniqueName="7" name="AvgG1" queryTableFieldId="7"/>
    <tableColumn id="8" uniqueName="8" name="CountSheets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heet1" displayName="Sheet1" ref="A1:F304" tableType="queryTable" headerRowCount="1" totalsRowShown="0">
  <autoFilter ref="A1:F304"/>
  <sortState ref="A2:F304">
    <sortCondition ref="A1:A304"/>
  </sortState>
  <tableColumns count="6">
    <tableColumn id="1" uniqueName="1" name="Disamatic Production" queryTableFieldId="1" dataDxfId="1"/>
    <tableColumn id="2" uniqueName="2" name="Column2" queryTableFieldId="2"/>
    <tableColumn id="3" uniqueName="3" name="Column3" queryTableFieldId="3"/>
    <tableColumn id="4" uniqueName="4" name="Column4" queryTableFieldId="4"/>
    <tableColumn id="5" uniqueName="5" name="Column5" queryTableFieldId="5"/>
    <tableColumn id="6" uniqueName="6" name="Column6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O34"/>
  <sheetViews>
    <sheetView tabSelected="1" view="pageLayout" zoomScaleNormal="90" zoomScaleSheetLayoutView="100" workbookViewId="0">
      <selection activeCell="J10" sqref="J10"/>
    </sheetView>
  </sheetViews>
  <sheetFormatPr baseColWidth="8" defaultRowHeight="15" customHeight="1"/>
  <cols>
    <col width="11.85546875" customWidth="1" min="1" max="1"/>
    <col width="10.28515625" customWidth="1" min="2" max="2"/>
    <col width="5.5703125" customWidth="1" min="3" max="3"/>
    <col width="44.42578125" customWidth="1" min="4" max="4"/>
    <col width="6.7109375" customWidth="1" min="5" max="5"/>
    <col width="7" customWidth="1" min="6" max="6"/>
    <col width="7.42578125" customWidth="1" min="7" max="7"/>
    <col width="7.28515625" customWidth="1" min="8" max="8"/>
    <col width="18" customWidth="1" min="9" max="9"/>
    <col width="5.85546875" customWidth="1" min="11" max="11"/>
    <col width="12.42578125" customWidth="1" min="12" max="12"/>
    <col width="13.42578125" customWidth="1" min="13" max="13"/>
    <col width="13.140625" customWidth="1" min="14" max="14"/>
    <col width="11.28515625" customWidth="1" min="15" max="15"/>
  </cols>
  <sheetData>
    <row r="1" ht="15.75" customHeight="1">
      <c r="A1" s="1" t="inlineStr">
        <is>
          <t>Date</t>
        </is>
      </c>
      <c r="B1" s="1" t="inlineStr">
        <is>
          <t>Cast Date</t>
        </is>
      </c>
      <c r="C1" s="1" t="inlineStr">
        <is>
          <t>Shift</t>
        </is>
      </c>
      <c r="D1" s="1" t="inlineStr">
        <is>
          <t>Shift Hours</t>
        </is>
      </c>
      <c r="E1" s="1" t="inlineStr">
        <is>
          <t>Bond</t>
        </is>
      </c>
      <c r="F1" s="44" t="n"/>
      <c r="G1" s="34" t="inlineStr">
        <is>
          <t>EFF%</t>
        </is>
      </c>
      <c r="H1" s="7">
        <f>O12</f>
        <v/>
      </c>
      <c r="I1" s="10" t="inlineStr">
        <is>
          <t>Part Number</t>
        </is>
      </c>
      <c r="J1" s="32" t="inlineStr">
        <is>
          <t>Rate</t>
        </is>
      </c>
      <c r="K1" s="10" t="inlineStr">
        <is>
          <t>Molds</t>
        </is>
      </c>
      <c r="L1" s="12" t="inlineStr">
        <is>
          <t>Time/Job Rate</t>
        </is>
      </c>
      <c r="M1" s="13" t="inlineStr">
        <is>
          <t>Time/Day Rate</t>
        </is>
      </c>
      <c r="N1" s="14" t="n"/>
      <c r="O1" s="22" t="n"/>
    </row>
    <row r="2" ht="16.9" customHeight="1">
      <c r="A2" s="29">
        <f>TODAY()</f>
        <v/>
      </c>
      <c r="B2" s="28">
        <f>A2-DATE(YEAR(A2),1,1)+1</f>
        <v/>
      </c>
      <c r="C2" s="1" t="n">
        <v>2</v>
      </c>
      <c r="D2" s="1" t="n">
        <v>8</v>
      </c>
      <c r="E2" s="1" t="inlineStr">
        <is>
          <t>New Sand</t>
        </is>
      </c>
      <c r="F2" s="44" t="n"/>
      <c r="G2" s="34" t="inlineStr">
        <is>
          <t>MTD%</t>
        </is>
      </c>
      <c r="H2" s="31">
        <f>AVERAGE('M1'!G:G,H1:H1)</f>
        <v/>
      </c>
      <c r="I2" s="15" t="inlineStr">
        <is>
          <t>PC</t>
        </is>
      </c>
      <c r="J2" s="10">
        <f>COUNTIF(C6:C17, "=9")</f>
        <v/>
      </c>
      <c r="K2" s="10">
        <f>IFERROR(AVERAGEIF(C6:C17,"=9",B6:B17),"No PC")</f>
        <v/>
      </c>
      <c r="L2" s="16">
        <f>IFERROR(J2*K2,0)</f>
        <v/>
      </c>
      <c r="M2" s="13" t="n"/>
      <c r="N2" s="17" t="n"/>
      <c r="O2" s="22" t="n"/>
    </row>
    <row r="3" ht="15.75" customHeight="1">
      <c r="A3" s="1" t="inlineStr">
        <is>
          <t>Start</t>
        </is>
      </c>
      <c r="B3" s="1" t="inlineStr">
        <is>
          <t>Stop</t>
        </is>
      </c>
      <c r="C3" s="1" t="inlineStr">
        <is>
          <t>Time</t>
        </is>
      </c>
      <c r="D3" s="1" t="inlineStr">
        <is>
          <t>Downtime</t>
        </is>
      </c>
      <c r="E3" s="1" t="inlineStr">
        <is>
          <t>Ret South</t>
        </is>
      </c>
      <c r="F3" s="44" t="n"/>
      <c r="G3" s="9" t="n"/>
      <c r="H3" s="1" t="inlineStr">
        <is>
          <t>Target Time</t>
        </is>
      </c>
      <c r="I3" s="18" t="inlineStr">
        <is>
          <t>0</t>
        </is>
      </c>
      <c r="J3" s="32">
        <f t="array" ref="J3">IFERROR(_xlfn.XLOOKUP(IFERROR(_xlfn.IFS(I3="0204778102","0204778101/102",I3="0204778526","0204778525/0204778526",I3="0204778527","0204749188/0204778527",I3="0204778528","0204704984/0204778528",I3="0204778529","0204704985/0204778529",I3="0282056",282056),I3),Sheet1!A:A,Sheet1!B:B,1,IF(I3="0282056",3,1),1),1)</f>
        <v/>
      </c>
      <c r="K3" s="10">
        <f>IF(AND(F19&lt;&gt;"pigs",F19&lt;&gt;"pig"),G19,0)</f>
        <v/>
      </c>
      <c r="L3" s="33">
        <f>(K3/J3)*60</f>
        <v/>
      </c>
      <c r="M3" s="13">
        <f>(K3/G5)*60</f>
        <v/>
      </c>
      <c r="N3" s="14" t="n"/>
      <c r="O3" s="22" t="n"/>
    </row>
    <row r="4" ht="15.75" customHeight="1">
      <c r="A4" s="28">
        <f t="array" ref="A4">_xlfn.IFS(AND(C2=3,D2=8),2200,AND(C2=3,D2=10),2000,AND(C2=2,D2=10),1600,AND(C2=2,D2=8),1400,C2=1,600)</f>
        <v/>
      </c>
      <c r="B4" s="28">
        <f t="array" ref="B4">_xlfn.IFS(AND(C2=1,D2=8), 1400, AND(C2=1,D2=10),1600, AND(C2=2,D2=8), 2200, AND(C2=2,D2=10), 2000, C2=3,600)</f>
        <v/>
      </c>
      <c r="C4" s="28">
        <f t="array" ref="C4">_xlfn.IFS(C2&lt;&gt;2,D2*60,AND(C2=2,D2=8),D2*60,AND(C2=2,D2=10),D2*24)</f>
        <v/>
      </c>
      <c r="D4" s="27">
        <f>SUM(B6:B17)</f>
        <v/>
      </c>
      <c r="E4" s="1" t="inlineStr">
        <is>
          <t>Ret North</t>
        </is>
      </c>
      <c r="F4" s="44" t="n"/>
      <c r="G4" s="5" t="inlineStr">
        <is>
          <t>Surge</t>
        </is>
      </c>
      <c r="H4" s="1" t="inlineStr"/>
      <c r="I4" s="18">
        <f>F20</f>
        <v/>
      </c>
      <c r="J4" s="32">
        <f t="array" ref="J4">IFERROR(_xlfn.XLOOKUP(IFERROR(_xlfn.IFS(I4="0204778102","0204778101/102",I4="0204778526","0204778525/0204778526",I4="0204778527","0204749188/0204778527",I4="0204778528","0204704984/0204778528",I4="0204778529","0204704985/0204778529",I4="0282056",282056),I4),Sheet1!A:A,Sheet1!B:B,1,IF(I4="0282056",3,1),1),1)</f>
        <v/>
      </c>
      <c r="K4" s="10">
        <f>IF(AND(F20&lt;&gt;"pigs",F20&lt;&gt;"pig"),G20,0)</f>
        <v/>
      </c>
      <c r="L4" s="33">
        <f>(K4/J4)*60</f>
        <v/>
      </c>
      <c r="M4" s="13">
        <f>(K4/G5)*60</f>
        <v/>
      </c>
      <c r="N4" s="19" t="n"/>
      <c r="O4" s="22" t="n"/>
    </row>
    <row r="5" ht="15.75" customHeight="1">
      <c r="A5" s="1" t="inlineStr">
        <is>
          <t>Start Time</t>
        </is>
      </c>
      <c r="B5" s="1" t="inlineStr">
        <is>
          <t>TOT MIN</t>
        </is>
      </c>
      <c r="C5" s="1" t="inlineStr">
        <is>
          <t>Code</t>
        </is>
      </c>
      <c r="D5" s="2" t="inlineStr">
        <is>
          <t>Cause</t>
        </is>
      </c>
      <c r="E5" s="1" t="inlineStr">
        <is>
          <t>MPH Goal</t>
        </is>
      </c>
      <c r="F5" s="44" t="n"/>
      <c r="G5" s="34" t="n">
        <v>240</v>
      </c>
      <c r="H5" s="1" t="n"/>
      <c r="I5" s="18">
        <f>F21</f>
        <v/>
      </c>
      <c r="J5" s="32">
        <f t="array" ref="J5">IFERROR(_xlfn.XLOOKUP(IFERROR(_xlfn.IFS(I5="0204778102","0204778101/102",I5="0204778526","0204778525/0204778526",I5="0204778527","0204749188/0204778527",I5="0204778528","0204704984/0204778528",I5="0204778529","0204704985/0204778529",I5="0282056",282056),I5),Sheet1!A:A,Sheet1!B:B,1,IF(I5="0282056",3,1),1),1)</f>
        <v/>
      </c>
      <c r="K5" s="10">
        <f>IF(AND(F21&lt;&gt;"pigs",F21&lt;&gt;"pig"),G21,0)</f>
        <v/>
      </c>
      <c r="L5" s="33">
        <f>(K5/J5)*60</f>
        <v/>
      </c>
      <c r="M5" s="13">
        <f>(K5/G5)*60</f>
        <v/>
      </c>
      <c r="N5" s="14" t="inlineStr">
        <is>
          <t>Molds per Hour</t>
        </is>
      </c>
      <c r="O5" s="22" t="n"/>
    </row>
    <row r="6" ht="26.45" customHeight="1">
      <c r="A6" s="8" t="n"/>
      <c r="B6" s="3" t="n"/>
      <c r="C6" s="1" t="n"/>
      <c r="D6" s="8" t="n"/>
      <c r="E6" s="45" t="n"/>
      <c r="F6" s="45" t="n"/>
      <c r="G6" s="44" t="n"/>
      <c r="H6" s="8" t="n"/>
      <c r="I6" s="18">
        <f>F22</f>
        <v/>
      </c>
      <c r="J6" s="32">
        <f t="array" ref="J6">IFERROR(_xlfn.XLOOKUP(IFERROR(_xlfn.IFS(I6="0204778102","0204778101/102",I6="0204778526","0204778525/0204778526",I6="0204778527","0204749188/0204778527",I6="0204778528","0204704984/0204778528",I6="0204778529","0204704985/0204778529",I6="0282056",282056),I6),Sheet1!A:A,Sheet1!B:B,1,IF(I6="0282056",3,1),1),1)</f>
        <v/>
      </c>
      <c r="K6" s="10">
        <f>IF(AND(F22&lt;&gt;"pigs",F22&lt;&gt;"pig"),G22,0)</f>
        <v/>
      </c>
      <c r="L6" s="33">
        <f>(K6/J6)*60</f>
        <v/>
      </c>
      <c r="M6" s="13">
        <f>(K6/G5)*60</f>
        <v/>
      </c>
      <c r="N6" s="19">
        <f>K11/D2</f>
        <v/>
      </c>
      <c r="O6" s="22" t="n"/>
    </row>
    <row r="7" ht="26.45" customHeight="1">
      <c r="A7" s="8" t="n"/>
      <c r="B7" s="3" t="n"/>
      <c r="C7" s="1" t="n"/>
      <c r="D7" s="8" t="n"/>
      <c r="E7" s="45" t="n"/>
      <c r="F7" s="45" t="n"/>
      <c r="G7" s="44" t="n"/>
      <c r="H7" s="8" t="n"/>
      <c r="I7" s="18">
        <f>F23</f>
        <v/>
      </c>
      <c r="J7" s="32">
        <f t="array" ref="J7">IFERROR(_xlfn.XLOOKUP(IFERROR(_xlfn.IFS(I7="0204778102","0204778101/102",I7="0204778526","0204778525/0204778526",I7="0204778527","0204749188/0204778527",I7="0204778528","0204704984/0204778528",I7="0204778529","0204704985/0204778529",I7="0282056",282056),I7),Sheet1!A:A,Sheet1!B:B,1,IF(I7="0282056",3,1),1),1)</f>
        <v/>
      </c>
      <c r="K7" s="10">
        <f>IF(AND(F23&lt;&gt;"pigs",F23&lt;&gt;"pig"),G23,0)</f>
        <v/>
      </c>
      <c r="L7" s="33">
        <f>(K7/J7)*60</f>
        <v/>
      </c>
      <c r="M7" s="13">
        <f>(K7/G5)*60</f>
        <v/>
      </c>
      <c r="N7" s="14" t="n"/>
      <c r="O7" s="22" t="n"/>
    </row>
    <row r="8" ht="26.45" customHeight="1">
      <c r="A8" s="8" t="n"/>
      <c r="B8" s="3" t="n"/>
      <c r="C8" s="1" t="n"/>
      <c r="D8" s="8" t="n"/>
      <c r="E8" s="45" t="n"/>
      <c r="F8" s="45" t="n"/>
      <c r="G8" s="44" t="n"/>
      <c r="H8" s="8" t="n"/>
      <c r="I8" s="18">
        <f>F24</f>
        <v/>
      </c>
      <c r="J8" s="32">
        <f t="array" ref="J8">IFERROR(_xlfn.XLOOKUP(IFERROR(_xlfn.IFS(I8="0204778102","0204778101/102",I8="0204778526","0204778525/0204778526",I8="0204778527","0204749188/0204778527",I8="0204778528","0204704984/0204778528",I8="0204778529","0204704985/0204778529",I8="0282056",282056),I8),Sheet1!A:A,Sheet1!B:B,1,IF(I8="0282056",3,1),1),1)</f>
        <v/>
      </c>
      <c r="K8" s="10">
        <f>IF(AND(F24&lt;&gt;"pigs",F24&lt;&gt;"pig"),G24,0)</f>
        <v/>
      </c>
      <c r="L8" s="33">
        <f>(K8/J8)*60</f>
        <v/>
      </c>
      <c r="M8" s="13">
        <f>(K8/G5)*60</f>
        <v/>
      </c>
      <c r="N8" s="20" t="n"/>
      <c r="O8" s="22" t="n"/>
    </row>
    <row r="9" ht="26.45" customHeight="1">
      <c r="A9" s="8" t="n"/>
      <c r="B9" s="3" t="n"/>
      <c r="C9" s="1" t="n"/>
      <c r="D9" s="8" t="n"/>
      <c r="E9" s="45" t="n"/>
      <c r="F9" s="45" t="n"/>
      <c r="G9" s="44" t="n"/>
      <c r="H9" s="8" t="n"/>
      <c r="I9" s="18">
        <f>F25</f>
        <v/>
      </c>
      <c r="J9" s="32">
        <f t="array" ref="J9">IFERROR(_xlfn.XLOOKUP(IFERROR(_xlfn.IFS(I9="0204778102","0204778101/102",I9="0204778526","0204778525/0204778526",I9="0204778527","0204749188/0204778527",I9="0204778528","0204704984/0204778528",I9="0204778529","0204704985/0204778529",I9="0282056",282056),I9),Sheet1!A:A,Sheet1!B:B,1,IF(I9="0282056",3,1),1),1)</f>
        <v/>
      </c>
      <c r="K9" s="10">
        <f>IF(AND(F25&lt;&gt;"pigs",F25&lt;&gt;"pig"),G25,0)</f>
        <v/>
      </c>
      <c r="L9" s="33">
        <f>(K9/J9)*60</f>
        <v/>
      </c>
      <c r="M9" s="13">
        <f>(K9/G5)*60</f>
        <v/>
      </c>
      <c r="N9" s="21" t="n"/>
      <c r="O9" s="22" t="n"/>
    </row>
    <row r="10" ht="26.45" customHeight="1">
      <c r="A10" s="8" t="n"/>
      <c r="B10" s="3" t="n"/>
      <c r="C10" s="1" t="n"/>
      <c r="D10" s="8" t="n"/>
      <c r="E10" s="45" t="n"/>
      <c r="F10" s="45" t="n"/>
      <c r="G10" s="44" t="n"/>
      <c r="H10" s="8" t="n"/>
      <c r="I10" s="18">
        <f>F26</f>
        <v/>
      </c>
      <c r="J10" s="32">
        <f t="array" ref="J10">IFERROR(_xlfn.XLOOKUP(IFERROR(_xlfn.IFS(I10="0204778102","0204778101/102",I10="0204778526","0204778525/0204778526",I10="0204778527","0204749188/0204778527",I10="0204778528","0204704984/0204778528",I10="0204778529","0204704985/0204778529",I10="0282056",282056),I10),Sheet1!A:A,Sheet1!B:B,1,IF(I10="0282056",3,1),1),1)</f>
        <v/>
      </c>
      <c r="K10" s="10">
        <f>IF(AND(F26&lt;&gt;"pigs",F26&lt;&gt;"pig"),G26,0)</f>
        <v/>
      </c>
      <c r="L10" s="33">
        <f>(K10/J10)*60</f>
        <v/>
      </c>
      <c r="M10" s="13">
        <f>(K10/G5)*60</f>
        <v/>
      </c>
      <c r="N10" s="21" t="inlineStr">
        <is>
          <t>Down time</t>
        </is>
      </c>
      <c r="O10" s="22" t="inlineStr">
        <is>
          <t>Down time%</t>
        </is>
      </c>
    </row>
    <row r="11" ht="26.45" customHeight="1">
      <c r="A11" s="8" t="n"/>
      <c r="B11" s="3" t="n"/>
      <c r="C11" s="1" t="n"/>
      <c r="D11" s="8" t="n"/>
      <c r="E11" s="45" t="n"/>
      <c r="F11" s="45" t="n"/>
      <c r="G11" s="44" t="n"/>
      <c r="H11" s="8" t="n"/>
      <c r="I11" s="22" t="inlineStr">
        <is>
          <t>Totals</t>
        </is>
      </c>
      <c r="J11" s="22" t="n"/>
      <c r="K11" s="22">
        <f>SUM(K3:K10)</f>
        <v/>
      </c>
      <c r="L11" s="13">
        <f>SUM(L3:L10)</f>
        <v/>
      </c>
      <c r="M11" s="13">
        <f>SUM(M3:M10)</f>
        <v/>
      </c>
      <c r="N11" s="23">
        <f>(C4-L11-SUM(B6:B17))</f>
        <v/>
      </c>
      <c r="O11" s="25">
        <f>(C4-L11)/(C4)</f>
        <v/>
      </c>
    </row>
    <row r="12" ht="26.45" customHeight="1">
      <c r="A12" s="8" t="n"/>
      <c r="B12" s="3" t="n"/>
      <c r="C12" s="1" t="n"/>
      <c r="D12" s="8" t="n"/>
      <c r="E12" s="45" t="n"/>
      <c r="F12" s="45" t="n"/>
      <c r="G12" s="44" t="n"/>
      <c r="H12" s="8" t="n"/>
      <c r="I12" s="10" t="n"/>
      <c r="J12" s="32" t="n"/>
      <c r="K12" s="10" t="n"/>
      <c r="L12" s="17" t="n"/>
      <c r="M12" s="13" t="n"/>
      <c r="N12" s="22" t="inlineStr">
        <is>
          <t>Up time %</t>
        </is>
      </c>
      <c r="O12" s="25">
        <f>L11/C4</f>
        <v/>
      </c>
    </row>
    <row r="13" ht="26.45" customHeight="1">
      <c r="A13" s="8" t="n"/>
      <c r="B13" s="3" t="n"/>
      <c r="C13" s="1" t="n"/>
      <c r="D13" s="8" t="n"/>
      <c r="E13" s="45" t="n"/>
      <c r="F13" s="45" t="n"/>
      <c r="G13" s="44" t="n"/>
      <c r="H13" s="8" t="n"/>
      <c r="I13" s="10" t="n"/>
      <c r="J13" s="32" t="n"/>
      <c r="K13" s="10" t="n"/>
      <c r="L13" s="17">
        <f>L11+D4</f>
        <v/>
      </c>
      <c r="M13" s="13">
        <f>IFERROR(N11/COUNT(B6:B16),0)</f>
        <v/>
      </c>
      <c r="N13" s="22" t="inlineStr">
        <is>
          <t>Molds Missing</t>
        </is>
      </c>
      <c r="O13" s="22" t="n"/>
    </row>
    <row r="14" ht="26.45" customHeight="1">
      <c r="A14" s="8" t="n"/>
      <c r="B14" s="3" t="n"/>
      <c r="C14" s="1" t="n"/>
      <c r="D14" s="8" t="n"/>
      <c r="E14" s="45" t="n"/>
      <c r="F14" s="45" t="n"/>
      <c r="G14" s="44" t="n"/>
      <c r="H14" s="8" t="n"/>
      <c r="I14" s="10" t="n"/>
      <c r="J14" s="32" t="n"/>
      <c r="K14" s="10" t="n"/>
      <c r="L14" s="17" t="n"/>
      <c r="M14" s="13" t="n"/>
      <c r="N14" s="24">
        <f t="array" ref="N14">_xlfn.IFS(AND(C2&lt;&gt;2,D2&lt;&gt;10),K11-(G5*D2),AND(C2=2,D2=10),K11-((G5/2)*D2),AND(C2=2,D2=8),K11-G5*D2,AND(C2=1,D2=8),K11-G5*D2,AND(C2=3,D2=8),K11-G5*D2,AND(C2=3,D2=10),K11-G5*D2,AND(C2=1,D2=10),K11-G5*D2)</f>
        <v/>
      </c>
      <c r="O14" s="22" t="n"/>
    </row>
    <row r="15" ht="26.45" customHeight="1">
      <c r="A15" s="8" t="n"/>
      <c r="B15" s="3" t="n"/>
      <c r="C15" s="1" t="n"/>
      <c r="D15" s="8" t="n"/>
      <c r="E15" s="45" t="n"/>
      <c r="F15" s="45" t="n"/>
      <c r="G15" s="44" t="n"/>
      <c r="H15" s="8" t="n"/>
      <c r="I15" t="inlineStr">
        <is>
          <t>File Name:</t>
        </is>
      </c>
    </row>
    <row r="16" ht="26.45" customHeight="1">
      <c r="A16" s="8" t="n"/>
      <c r="B16" s="3" t="n"/>
      <c r="C16" s="1" t="n"/>
      <c r="D16" s="8" t="n"/>
      <c r="E16" s="45" t="n"/>
      <c r="F16" s="45" t="n"/>
      <c r="G16" s="44" t="n"/>
      <c r="H16" s="8" t="n"/>
      <c r="I16">
        <f>"Disamatic Production " &amp; C2 &amp; TEXT(TODAY(),"MMDDYY")</f>
        <v/>
      </c>
    </row>
    <row r="17" ht="26.45" customHeight="1">
      <c r="A17" s="1" t="n"/>
      <c r="B17" s="3" t="n"/>
      <c r="C17" s="1" t="n"/>
      <c r="D17" s="1" t="n"/>
      <c r="E17" s="45" t="n"/>
      <c r="F17" s="45" t="n"/>
      <c r="G17" s="44" t="n"/>
      <c r="H17" s="1" t="n"/>
    </row>
    <row r="18" ht="15.75" customHeight="1">
      <c r="A18" s="1" t="inlineStr">
        <is>
          <t>Shop Order</t>
        </is>
      </c>
      <c r="B18" s="1" t="n"/>
      <c r="C18" s="1" t="n"/>
      <c r="D18" s="1" t="n"/>
      <c r="E18" s="1" t="inlineStr">
        <is>
          <t>Part Number</t>
        </is>
      </c>
      <c r="F18" s="44" t="n"/>
      <c r="G18" s="34" t="inlineStr">
        <is>
          <t>Molds</t>
        </is>
      </c>
      <c r="H18" s="1" t="n"/>
    </row>
    <row r="19" ht="15.75" customHeight="1">
      <c r="A19" s="8" t="n"/>
      <c r="B19" s="1" t="n"/>
      <c r="C19" s="1" t="n"/>
      <c r="D19" s="1" t="n"/>
      <c r="E19" s="46" t="n"/>
      <c r="F19" s="44" t="n"/>
      <c r="G19" s="30" t="n"/>
      <c r="H19" s="1" t="n"/>
    </row>
    <row r="20" ht="15.75" customHeight="1">
      <c r="A20" s="8" t="n"/>
      <c r="B20" s="1" t="n"/>
      <c r="C20" s="1" t="n"/>
      <c r="D20" s="1" t="n"/>
      <c r="E20" s="8" t="n"/>
      <c r="F20" s="44" t="n"/>
      <c r="G20" s="30" t="n"/>
      <c r="H20" s="1" t="n"/>
    </row>
    <row r="21" ht="15.75" customHeight="1">
      <c r="A21" s="8" t="n"/>
      <c r="B21" s="1" t="n"/>
      <c r="C21" s="1" t="n"/>
      <c r="D21" s="1" t="n"/>
      <c r="E21" s="8" t="n"/>
      <c r="F21" s="44" t="n"/>
      <c r="G21" s="30" t="n"/>
      <c r="H21" s="1" t="n"/>
    </row>
    <row r="22" ht="15.75" customHeight="1">
      <c r="A22" s="8" t="n"/>
      <c r="B22" s="1" t="n"/>
      <c r="C22" s="1" t="n"/>
      <c r="D22" s="1" t="n"/>
      <c r="E22" s="8" t="n"/>
      <c r="F22" s="44" t="n"/>
      <c r="G22" s="30" t="n"/>
      <c r="H22" s="1" t="n"/>
    </row>
    <row r="23" ht="15.75" customHeight="1">
      <c r="A23" s="8" t="n"/>
      <c r="B23" s="1" t="n"/>
      <c r="C23" s="1" t="n"/>
      <c r="D23" s="1" t="n"/>
      <c r="E23" s="8" t="n"/>
      <c r="F23" s="44" t="n"/>
      <c r="G23" s="30" t="n"/>
      <c r="H23" s="1" t="n"/>
    </row>
    <row r="24" ht="15.75" customHeight="1">
      <c r="A24" s="8" t="n"/>
      <c r="B24" s="1" t="n"/>
      <c r="C24" s="1" t="n"/>
      <c r="D24" s="1" t="n"/>
      <c r="E24" s="8" t="n"/>
      <c r="F24" s="44" t="n"/>
      <c r="G24" s="30" t="n"/>
      <c r="H24" s="1" t="n"/>
    </row>
    <row r="25" ht="15.75" customHeight="1">
      <c r="A25" s="8" t="n"/>
      <c r="B25" s="1" t="n"/>
      <c r="C25" s="1" t="n"/>
      <c r="D25" s="1" t="n"/>
      <c r="E25" s="8" t="n"/>
      <c r="F25" s="44" t="n"/>
      <c r="G25" s="30" t="n"/>
      <c r="H25" s="1" t="n"/>
    </row>
    <row r="26" ht="15.75" customHeight="1">
      <c r="A26" s="8" t="n"/>
      <c r="B26" s="1" t="n"/>
      <c r="C26" s="1" t="n"/>
      <c r="D26" s="1" t="n"/>
      <c r="E26" s="8" t="n"/>
      <c r="F26" s="44" t="n"/>
      <c r="G26" s="30" t="n"/>
      <c r="H26" s="1" t="n"/>
    </row>
    <row r="27" ht="15.75" customHeight="1">
      <c r="A27" s="8" t="n"/>
      <c r="B27" s="1" t="n"/>
      <c r="C27" s="1" t="n"/>
      <c r="D27" s="1" t="n"/>
      <c r="E27" s="1" t="n"/>
      <c r="F27" s="44" t="n"/>
      <c r="G27" s="34" t="inlineStr">
        <is>
          <t>Total Molds</t>
        </is>
      </c>
      <c r="H27" s="1" t="n"/>
    </row>
    <row r="28" ht="15.75" customHeight="1">
      <c r="A28" s="1" t="inlineStr">
        <is>
          <t>Totals</t>
        </is>
      </c>
      <c r="B28" s="1" t="n"/>
      <c r="C28" s="1" t="n"/>
      <c r="D28" s="1" t="n"/>
      <c r="E28" s="1" t="n"/>
      <c r="F28" s="44" t="n"/>
      <c r="G28" s="47">
        <f>SUM(G19:G24)</f>
        <v/>
      </c>
      <c r="H28" s="48" t="n"/>
    </row>
    <row r="29" ht="15.75" customHeight="1">
      <c r="A29" s="6" t="inlineStr">
        <is>
          <t>No Iron Due to Cupola</t>
        </is>
      </c>
      <c r="B29" s="6" t="n"/>
      <c r="C29" s="6" t="n">
        <v>1</v>
      </c>
      <c r="D29" s="6" t="inlineStr">
        <is>
          <t>Misc Reason for Down Time</t>
        </is>
      </c>
      <c r="E29" s="6" t="n"/>
      <c r="F29" s="6" t="n">
        <v>6</v>
      </c>
      <c r="G29" s="6" t="n"/>
      <c r="H29" s="6" t="n"/>
    </row>
    <row r="30" ht="15.75" customHeight="1">
      <c r="A30" s="6" t="inlineStr">
        <is>
          <t>No Iron Due to Transfer</t>
        </is>
      </c>
      <c r="B30" s="6" t="n"/>
      <c r="C30" s="6" t="n">
        <v>2</v>
      </c>
      <c r="D30" s="6" t="inlineStr">
        <is>
          <t>Machine Repairs</t>
        </is>
      </c>
      <c r="E30" s="6" t="n"/>
      <c r="F30" s="6" t="n">
        <v>7</v>
      </c>
      <c r="G30" s="6" t="n"/>
      <c r="H30" s="6" t="n"/>
    </row>
    <row r="31" ht="15.75" customHeight="1">
      <c r="A31" s="6" t="inlineStr">
        <is>
          <t>Auto Pour Problems</t>
        </is>
      </c>
      <c r="B31" s="6" t="n"/>
      <c r="C31" s="6" t="n">
        <v>3</v>
      </c>
      <c r="D31" s="6" t="inlineStr">
        <is>
          <t>AMC, SBC, Shakeout Problem</t>
        </is>
      </c>
      <c r="E31" s="6" t="n"/>
      <c r="F31" s="6" t="n">
        <v>8</v>
      </c>
      <c r="G31" s="6" t="n"/>
      <c r="H31" s="6" t="n"/>
    </row>
    <row r="32" ht="15.75" customHeight="1">
      <c r="A32" s="6" t="inlineStr">
        <is>
          <t>Inoculator Problems</t>
        </is>
      </c>
      <c r="B32" s="6" t="n"/>
      <c r="C32" s="6" t="n">
        <v>4</v>
      </c>
      <c r="D32" s="6" t="inlineStr">
        <is>
          <t>Pattern Change</t>
        </is>
      </c>
      <c r="E32" s="6" t="n"/>
      <c r="F32" s="6" t="n">
        <v>9</v>
      </c>
      <c r="G32" s="6" t="n"/>
      <c r="H32" s="6" t="n"/>
    </row>
    <row r="33" ht="15.75" customHeight="1">
      <c r="A33" s="6" t="inlineStr">
        <is>
          <t>No Sand</t>
        </is>
      </c>
      <c r="B33" s="6" t="n"/>
      <c r="C33" s="6" t="n">
        <v>5</v>
      </c>
      <c r="D33" s="6" t="inlineStr">
        <is>
          <t>Pattern Repair</t>
        </is>
      </c>
      <c r="E33" s="6" t="n"/>
      <c r="F33" s="6" t="n">
        <v>10</v>
      </c>
      <c r="G33" s="6" t="n"/>
      <c r="H33" s="6" t="n"/>
    </row>
    <row r="34" ht="15.75" customHeight="1">
      <c r="A34" s="6" t="n"/>
      <c r="B34" s="6" t="n"/>
      <c r="C34" s="6" t="n"/>
      <c r="D34" s="6" t="n"/>
      <c r="E34" s="6" t="n"/>
      <c r="F34" s="6" t="n"/>
      <c r="G34" s="6" t="n"/>
      <c r="H34" s="6" t="n"/>
    </row>
  </sheetData>
  <mergeCells count="29">
    <mergeCell ref="D9:G9"/>
    <mergeCell ref="D12:G12"/>
    <mergeCell ref="E24:F24"/>
    <mergeCell ref="D8:G8"/>
    <mergeCell ref="E5:F5"/>
    <mergeCell ref="E23:F23"/>
    <mergeCell ref="D15:G15"/>
    <mergeCell ref="D14:G14"/>
    <mergeCell ref="E4:F4"/>
    <mergeCell ref="E20:F20"/>
    <mergeCell ref="E1:F1"/>
    <mergeCell ref="E19:F19"/>
    <mergeCell ref="E28:F28"/>
    <mergeCell ref="G28:H28"/>
    <mergeCell ref="D10:G10"/>
    <mergeCell ref="E2:F2"/>
    <mergeCell ref="D6:G6"/>
    <mergeCell ref="E27:F27"/>
    <mergeCell ref="D13:G13"/>
    <mergeCell ref="D11:G11"/>
    <mergeCell ref="E26:F26"/>
    <mergeCell ref="D17:G17"/>
    <mergeCell ref="E25:F25"/>
    <mergeCell ref="D16:G16"/>
    <mergeCell ref="D7:G7"/>
    <mergeCell ref="E22:F22"/>
    <mergeCell ref="E18:F18"/>
    <mergeCell ref="E3:F3"/>
    <mergeCell ref="E21:F21"/>
  </mergeCells>
  <pageMargins left="0.25" right="0.25" top="0.75" bottom="0.75" header="0.3" footer="0.3"/>
  <pageSetup orientation="portrait"/>
  <headerFooter>
    <oddHeader>&amp;C&amp;"-,Bold"&amp;14 Disamatic Production</oddHeader>
    <oddFooter>&amp;LGLC Form 510-09 Rev: 10/12/2025</oddFooter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11"/>
  <sheetViews>
    <sheetView workbookViewId="0">
      <selection activeCell="G11" sqref="G11"/>
    </sheetView>
  </sheetViews>
  <sheetFormatPr baseColWidth="8" defaultRowHeight="15"/>
  <cols>
    <col width="32.5703125" bestFit="1" customWidth="1" min="1" max="1"/>
    <col width="8" bestFit="1" customWidth="1" min="2" max="2"/>
    <col width="7.42578125" bestFit="1" customWidth="1" min="3" max="3"/>
    <col width="17.28515625" bestFit="1" customWidth="1" min="4" max="4"/>
    <col width="7.28515625" bestFit="1" customWidth="1" min="5" max="5"/>
    <col width="9.28515625" bestFit="1" customWidth="1" min="6" max="6"/>
    <col width="12" bestFit="1" customWidth="1" min="7" max="7"/>
    <col width="14.5703125" bestFit="1" customWidth="1" min="8" max="8"/>
  </cols>
  <sheetData>
    <row r="1"/>
    <row r="2">
      <c r="D2" s="26" t="n"/>
    </row>
    <row r="3">
      <c r="D3" s="26" t="n"/>
    </row>
    <row r="4">
      <c r="D4" s="26" t="n"/>
    </row>
    <row r="5">
      <c r="D5" s="26" t="n"/>
    </row>
    <row r="6">
      <c r="D6" s="26" t="n"/>
    </row>
    <row r="7">
      <c r="D7" s="26" t="n"/>
    </row>
    <row r="8">
      <c r="D8" s="26" t="n"/>
    </row>
    <row r="9">
      <c r="D9" s="26" t="n"/>
    </row>
    <row r="10">
      <c r="D10" s="26" t="n"/>
    </row>
    <row r="11">
      <c r="D11" s="26" t="n"/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F304"/>
  <sheetViews>
    <sheetView workbookViewId="0">
      <selection activeCell="A1" sqref="A1"/>
    </sheetView>
  </sheetViews>
  <sheetFormatPr baseColWidth="8" defaultRowHeight="15"/>
  <cols>
    <col width="22.28515625" bestFit="1" customWidth="1" min="1" max="1"/>
    <col width="11.140625" bestFit="1" customWidth="1" min="2" max="6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A2"/>
  <sheetViews>
    <sheetView workbookViewId="0">
      <selection activeCell="A2" sqref="A2"/>
    </sheetView>
  </sheetViews>
  <sheetFormatPr baseColWidth="8" defaultRowHeight="15"/>
  <sheetData>
    <row r="1">
      <c r="A1">
        <f t="array" ref="A1">CELL("filename")</f>
        <v/>
      </c>
    </row>
    <row r="2">
      <c r="A2">
        <f>MID(A1,FIND("[",A1)+1,FIND("]",A1)-FIND("[",A1)-1)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Disa Lead</dc:creator>
  <dcterms:created xsi:type="dcterms:W3CDTF">2020-06-05T01:42:18Z</dcterms:created>
  <dcterms:modified xsi:type="dcterms:W3CDTF">2026-04-05T15:00:43Z</dcterms:modified>
  <cp:lastModifiedBy>Disa Lead</cp:lastModifiedBy>
  <cp:lastPrinted>2025-09-28T10:39:28Z</cp:lastPrinted>
</cp:coreProperties>
</file>