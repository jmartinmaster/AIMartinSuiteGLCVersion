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/>
  <workbookPr codeName="ThisWorkbook" refreshAllConnections="1" defaultThemeVersion="124226"/>
  <mc:AlternateContent xmlns:mc="http://schemas.openxmlformats.org/markup-compatibility/2006">
    <mc:Choice Requires="x15">
      <x15ac:absPath xmlns:x15ac="http://schemas.microsoft.com/office/spreadsheetml/2010/11/ac" url="C:\Users\disalead\OneDrive - Great Lakes Castings\Documents\Production Sheet\"/>
    </mc:Choice>
  </mc:AlternateContent>
  <xr:revisionPtr revIDLastSave="0" documentId="13_ncr:1_{B7920E66-F6FC-4E64-AC3B-9F7A9DE86038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Production Sheet" sheetId="3" r:id="rId1"/>
    <sheet name="M1" sheetId="4" r:id="rId2"/>
    <sheet name="Sheet1" sheetId="6" r:id="rId3"/>
    <sheet name="CurrentFileName" sheetId="5" state="hidden" r:id="rId4"/>
  </sheets>
  <definedNames>
    <definedName name="CurrentFileName">CurrentFileName!$A$2</definedName>
    <definedName name="ExternalData_1" localSheetId="1" hidden="1">'M1'!$A$1:$H$11</definedName>
    <definedName name="ExternalData_1" localSheetId="2" hidden="1">Sheet1!$A$1:$F$304</definedName>
    <definedName name="_xlnm.Print_Area" localSheetId="0">'Production Sheet'!$A$1:$H$34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10" i="3" l="1" a="1"/>
  <c r="J10" i="3" s="1"/>
  <c r="J9" i="3" a="1"/>
  <c r="J9" i="3" s="1"/>
  <c r="J8" i="3" a="1"/>
  <c r="J8" i="3" s="1"/>
  <c r="J7" i="3" a="1"/>
  <c r="J7" i="3" s="1"/>
  <c r="J6" i="3" a="1"/>
  <c r="J6" i="3" s="1"/>
  <c r="J5" i="3" a="1"/>
  <c r="J5" i="3" s="1"/>
  <c r="J4" i="3" a="1"/>
  <c r="J4" i="3" s="1"/>
  <c r="J3" i="3" a="1"/>
  <c r="J3" i="3" s="1"/>
  <c r="I16" i="3"/>
  <c r="C4" i="3" a="1"/>
  <c r="C4" i="3" s="1"/>
  <c r="A4" i="3" a="1"/>
  <c r="A4" i="3" s="1"/>
  <c r="D4" i="3" l="1"/>
  <c r="K10" i="3"/>
  <c r="M10" i="3" s="1"/>
  <c r="I10" i="3"/>
  <c r="K9" i="3"/>
  <c r="M9" i="3" s="1"/>
  <c r="I9" i="3"/>
  <c r="K8" i="3"/>
  <c r="M8" i="3" s="1"/>
  <c r="I8" i="3"/>
  <c r="K7" i="3"/>
  <c r="I7" i="3"/>
  <c r="K6" i="3"/>
  <c r="M6" i="3" s="1"/>
  <c r="I6" i="3"/>
  <c r="K5" i="3"/>
  <c r="M5" i="3" s="1"/>
  <c r="I5" i="3"/>
  <c r="K4" i="3"/>
  <c r="M4" i="3" s="1"/>
  <c r="I4" i="3"/>
  <c r="K3" i="3"/>
  <c r="K2" i="3"/>
  <c r="J2" i="3"/>
  <c r="A1" i="5" a="1"/>
  <c r="A1" i="5" s="1"/>
  <c r="A2" i="5" s="1"/>
  <c r="L10" i="3" l="1"/>
  <c r="L7" i="3"/>
  <c r="L5" i="3"/>
  <c r="L4" i="3"/>
  <c r="L2" i="3"/>
  <c r="K11" i="3"/>
  <c r="N14" i="3" s="1" a="1"/>
  <c r="N14" i="3" s="1"/>
  <c r="M7" i="3"/>
  <c r="M3" i="3"/>
  <c r="A2" i="3"/>
  <c r="B2" i="3" s="1"/>
  <c r="G28" i="3"/>
  <c r="B4" i="3" a="1"/>
  <c r="B4" i="3" s="1"/>
  <c r="N6" i="3" l="1"/>
  <c r="M11" i="3"/>
  <c r="L3" i="3" l="1"/>
  <c r="L6" i="3"/>
  <c r="L8" i="3"/>
  <c r="L9" i="3"/>
  <c r="L11" i="3" l="1"/>
  <c r="N11" i="3" l="1"/>
  <c r="M13" i="3" s="1"/>
  <c r="O11" i="3"/>
  <c r="O12" i="3"/>
  <c r="H1" i="3" s="1"/>
  <c r="H2" i="3" s="1"/>
  <c r="L13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tc={85BBB53C-D59B-40E7-A109-2ECC4A027A8C}</author>
  </authors>
  <commentList>
    <comment ref="K2" authorId="0" shapeId="0" xr:uid="{85BBB53C-D59B-40E7-A109-2ECC4A027A8C}">
      <text>
        <t>[Threaded comment]
Your version of Excel allows you to read this threaded comment; however, any edits to it will get removed if the file is opened in a newer version of Excel. Learn more: https://go.microsoft.com/fwlink/?linkid=870924
Comment:
    Average time of changeovers</t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A1C83E0-5D37-4413-8721-3FB6367A98B1}" keepAlive="1" name="Query - M1" description="Connection to the 'M1' query in the workbook." type="5" refreshedVersion="8" background="1" saveData="1">
    <dbPr connection="Provider=Microsoft.Mashup.OleDb.1;Data Source=$Workbook$;Location=M1;Extended Properties=&quot;&quot;" command="SELECT * FROM [M1]"/>
  </connection>
  <connection id="2" xr16:uid="{F32E018C-8ADD-4F01-80BB-F03AA12856F9}" keepAlive="1" name="Query - Sheet1" description="Connection to the 'Sheet1' query in the workbook." type="5" refreshedVersion="8" background="1" saveData="1">
    <dbPr connection="Provider=Microsoft.Mashup.OleDb.1;Data Source=$Workbook$;Location=Sheet1;Extended Properties=&quot;&quot;" command="SELECT * FROM [Sheet1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<sst xmlns="http://schemas.openxmlformats.org/spreadsheetml/2006/main" count="49" uniqueCount="46">
  <si>
    <t>Date</t>
  </si>
  <si>
    <t>Cast Date</t>
  </si>
  <si>
    <t>Shift</t>
  </si>
  <si>
    <t>Shift Hours</t>
  </si>
  <si>
    <t>Bond</t>
  </si>
  <si>
    <t>EFF%</t>
  </si>
  <si>
    <t>New Sand</t>
  </si>
  <si>
    <t>MTD%</t>
  </si>
  <si>
    <t>Start</t>
  </si>
  <si>
    <t>Stop</t>
  </si>
  <si>
    <t>Time</t>
  </si>
  <si>
    <t>Downtime</t>
  </si>
  <si>
    <t>Ret South</t>
  </si>
  <si>
    <t>Ret North</t>
  </si>
  <si>
    <t>Surge</t>
  </si>
  <si>
    <t>Start Time</t>
  </si>
  <si>
    <t>TOT MIN</t>
  </si>
  <si>
    <t>Code</t>
  </si>
  <si>
    <t>Cause</t>
  </si>
  <si>
    <t>MPH Goal</t>
  </si>
  <si>
    <t>Shop Order</t>
  </si>
  <si>
    <t>Part Number</t>
  </si>
  <si>
    <t>Molds</t>
  </si>
  <si>
    <t>Total Molds</t>
  </si>
  <si>
    <t>Totals</t>
  </si>
  <si>
    <t>No Iron Due to Cupola</t>
  </si>
  <si>
    <t>Misc Reason for Down Time</t>
  </si>
  <si>
    <t>No Iron Due to Transfer</t>
  </si>
  <si>
    <t>Machine Repairs</t>
  </si>
  <si>
    <t>Auto Pour Problems</t>
  </si>
  <si>
    <t>AMC, SBC, Shakeout Problem</t>
  </si>
  <si>
    <t>Inoculator Problems</t>
  </si>
  <si>
    <t>Pattern Change</t>
  </si>
  <si>
    <t>No Sand</t>
  </si>
  <si>
    <t>Pattern Repair</t>
  </si>
  <si>
    <t>Rate</t>
  </si>
  <si>
    <t>Time/Job Rate</t>
  </si>
  <si>
    <t>Time/Day Rate</t>
  </si>
  <si>
    <t>Molds per Hour</t>
  </si>
  <si>
    <t>Up time %</t>
  </si>
  <si>
    <t>Molds Missing</t>
  </si>
  <si>
    <t>PC</t>
  </si>
  <si>
    <t>Down time%</t>
  </si>
  <si>
    <t>Down time</t>
  </si>
  <si>
    <t>File Name:</t>
  </si>
  <si>
    <t>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</si>
</sst>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;[Red]0"/>
  </numFmts>
  <fonts count="11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5"/>
      </patternFill>
    </fill>
    <fill>
      <patternFill patternType="solid">
        <fgColor theme="0" tint="-0.14996795556505021"/>
        <bgColor indexed="64"/>
      </patternFill>
    </fill>
  </fills>
  <borders count="8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8">
    <xf numFmtId="0" fontId="0" fillId="0" borderId="0"/>
    <xf numFmtId="0" fontId="1" fillId="2" borderId="0" applyNumberFormat="0" applyBorder="0" applyAlignment="0" applyProtection="0"/>
    <xf numFmtId="0" fontId="2" fillId="3" borderId="0" applyNumberFormat="0" applyBorder="0" applyAlignment="0" applyProtection="0"/>
    <xf numFmtId="0" fontId="3" fillId="4" borderId="0" applyNumberFormat="0" applyBorder="0" applyAlignment="0" applyProtection="0"/>
    <xf numFmtId="0" fontId="4" fillId="5" borderId="1" applyNumberFormat="0" applyAlignment="0" applyProtection="0"/>
    <xf numFmtId="0" fontId="5" fillId="6" borderId="1" applyNumberFormat="0" applyAlignment="0" applyProtection="0"/>
    <xf numFmtId="9" fontId="6" fillId="0" borderId="0" applyFont="0" applyFill="0" applyBorder="0" applyAlignment="0" applyProtection="0"/>
    <xf numFmtId="0" fontId="8" fillId="7" borderId="0" applyNumberFormat="0" applyBorder="0" applyAlignment="0" applyProtection="0"/>
  </cellStyleXfs>
  <cellXfs count="44">
    <xf numFmtId="0" fontId="0" fillId="0" borderId="0" xfId="0"/>
    <xf numFmtId="0" fontId="9" fillId="0" borderId="2" xfId="0" applyFont="1" applyBorder="1" applyAlignment="1" applyProtection="1">
      <alignment horizontal="left"/>
      <protection locked="0"/>
    </xf>
    <xf numFmtId="0" fontId="9" fillId="0" borderId="2" xfId="0" applyFont="1" applyBorder="1" applyAlignment="1" applyProtection="1">
      <alignment horizontal="center"/>
      <protection locked="0"/>
    </xf>
    <xf numFmtId="1" fontId="9" fillId="0" borderId="2" xfId="0" applyNumberFormat="1" applyFont="1" applyBorder="1" applyAlignment="1" applyProtection="1">
      <alignment horizontal="left"/>
      <protection locked="0"/>
    </xf>
    <xf numFmtId="0" fontId="9" fillId="0" borderId="3" xfId="0" applyFont="1" applyBorder="1" applyAlignment="1" applyProtection="1">
      <alignment horizontal="left"/>
      <protection locked="0"/>
    </xf>
    <xf numFmtId="0" fontId="9" fillId="0" borderId="4" xfId="0" applyFont="1" applyBorder="1" applyAlignment="1" applyProtection="1">
      <alignment horizontal="left"/>
      <protection locked="0"/>
    </xf>
    <xf numFmtId="0" fontId="9" fillId="0" borderId="0" xfId="0" applyFont="1"/>
    <xf numFmtId="9" fontId="0" fillId="8" borderId="2" xfId="0" applyNumberFormat="1" applyFill="1" applyBorder="1"/>
    <xf numFmtId="49" fontId="9" fillId="0" borderId="2" xfId="0" applyNumberFormat="1" applyFont="1" applyBorder="1" applyAlignment="1" applyProtection="1">
      <alignment horizontal="left"/>
      <protection locked="0"/>
    </xf>
    <xf numFmtId="0" fontId="9" fillId="0" borderId="2" xfId="0" applyFont="1" applyBorder="1" applyProtection="1">
      <protection locked="0"/>
    </xf>
    <xf numFmtId="0" fontId="1" fillId="0" borderId="2" xfId="1" applyFill="1" applyBorder="1"/>
    <xf numFmtId="0" fontId="4" fillId="0" borderId="2" xfId="4" applyFill="1" applyBorder="1"/>
    <xf numFmtId="1" fontId="3" fillId="0" borderId="2" xfId="3" applyNumberFormat="1" applyFill="1" applyBorder="1"/>
    <xf numFmtId="2" fontId="0" fillId="0" borderId="2" xfId="0" applyNumberFormat="1" applyBorder="1"/>
    <xf numFmtId="0" fontId="1" fillId="0" borderId="2" xfId="1" applyFill="1" applyBorder="1" applyAlignment="1">
      <alignment horizontal="right"/>
    </xf>
    <xf numFmtId="0" fontId="1" fillId="0" borderId="2" xfId="1" applyFill="1" applyBorder="1" applyAlignment="1">
      <alignment horizontal="left" vertical="top" wrapText="1"/>
    </xf>
    <xf numFmtId="1" fontId="1" fillId="0" borderId="2" xfId="1" applyNumberFormat="1" applyFill="1" applyBorder="1"/>
    <xf numFmtId="1" fontId="5" fillId="0" borderId="2" xfId="5" applyNumberFormat="1" applyFill="1" applyBorder="1"/>
    <xf numFmtId="49" fontId="1" fillId="0" borderId="2" xfId="1" applyNumberFormat="1" applyFill="1" applyBorder="1"/>
    <xf numFmtId="0" fontId="5" fillId="0" borderId="2" xfId="5" applyFill="1" applyBorder="1"/>
    <xf numFmtId="9" fontId="5" fillId="0" borderId="2" xfId="6" applyFont="1" applyFill="1" applyBorder="1"/>
    <xf numFmtId="0" fontId="2" fillId="0" borderId="2" xfId="2" applyFill="1" applyBorder="1" applyAlignment="1">
      <alignment horizontal="right"/>
    </xf>
    <xf numFmtId="0" fontId="0" fillId="0" borderId="2" xfId="0" applyBorder="1"/>
    <xf numFmtId="1" fontId="7" fillId="0" borderId="2" xfId="7" applyNumberFormat="1" applyFont="1" applyFill="1" applyBorder="1"/>
    <xf numFmtId="164" fontId="0" fillId="0" borderId="2" xfId="0" applyNumberFormat="1" applyBorder="1"/>
    <xf numFmtId="9" fontId="0" fillId="0" borderId="2" xfId="0" applyNumberFormat="1" applyBorder="1"/>
    <xf numFmtId="14" fontId="0" fillId="0" borderId="0" xfId="0" applyNumberFormat="1"/>
    <xf numFmtId="1" fontId="9" fillId="8" borderId="2" xfId="0" applyNumberFormat="1" applyFont="1" applyFill="1" applyBorder="1" applyAlignment="1">
      <alignment horizontal="left"/>
    </xf>
    <xf numFmtId="0" fontId="9" fillId="8" borderId="2" xfId="0" applyFont="1" applyFill="1" applyBorder="1" applyAlignment="1">
      <alignment horizontal="left"/>
    </xf>
    <xf numFmtId="14" fontId="9" fillId="8" borderId="2" xfId="0" applyNumberFormat="1" applyFont="1" applyFill="1" applyBorder="1" applyAlignment="1">
      <alignment horizontal="left"/>
    </xf>
    <xf numFmtId="1" fontId="9" fillId="0" borderId="3" xfId="0" applyNumberFormat="1" applyFont="1" applyBorder="1" applyAlignment="1" applyProtection="1">
      <alignment horizontal="left"/>
      <protection locked="0"/>
    </xf>
    <xf numFmtId="9" fontId="10" fillId="0" borderId="5" xfId="0" applyNumberFormat="1" applyFont="1" applyBorder="1" applyAlignment="1">
      <alignment horizontal="left"/>
    </xf>
    <xf numFmtId="0" fontId="4" fillId="0" borderId="2" xfId="4" applyNumberFormat="1" applyFill="1" applyBorder="1"/>
    <xf numFmtId="2" fontId="5" fillId="0" borderId="2" xfId="5" applyNumberFormat="1" applyFill="1" applyBorder="1"/>
    <xf numFmtId="0" fontId="9" fillId="0" borderId="3" xfId="0" applyFont="1" applyBorder="1" applyAlignment="1" applyProtection="1">
      <alignment horizontal="left"/>
      <protection locked="0"/>
    </xf>
    <xf numFmtId="0" fontId="9" fillId="0" borderId="6" xfId="0" applyFont="1" applyBorder="1" applyAlignment="1" applyProtection="1">
      <alignment horizontal="left"/>
      <protection locked="0"/>
    </xf>
    <xf numFmtId="0" fontId="9" fillId="0" borderId="7" xfId="0" applyFont="1" applyBorder="1" applyAlignment="1" applyProtection="1">
      <alignment horizontal="left"/>
      <protection locked="0"/>
    </xf>
    <xf numFmtId="49" fontId="9" fillId="0" borderId="3" xfId="0" applyNumberFormat="1" applyFont="1" applyBorder="1" applyAlignment="1" applyProtection="1">
      <alignment horizontal="left"/>
      <protection locked="0"/>
    </xf>
    <xf numFmtId="49" fontId="9" fillId="0" borderId="7" xfId="0" applyNumberFormat="1" applyFont="1" applyBorder="1" applyAlignment="1" applyProtection="1">
      <alignment horizontal="left"/>
      <protection locked="0"/>
    </xf>
    <xf numFmtId="49" fontId="9" fillId="0" borderId="6" xfId="0" applyNumberFormat="1" applyFont="1" applyBorder="1" applyAlignment="1" applyProtection="1">
      <alignment horizontal="left"/>
      <protection locked="0"/>
    </xf>
    <xf numFmtId="0" fontId="9" fillId="8" borderId="3" xfId="0" applyFont="1" applyFill="1" applyBorder="1" applyAlignment="1">
      <alignment horizontal="center"/>
    </xf>
    <xf numFmtId="0" fontId="9" fillId="8" borderId="6" xfId="0" applyFont="1" applyFill="1" applyBorder="1" applyAlignment="1">
      <alignment horizontal="center"/>
    </xf>
    <xf numFmtId="49" fontId="9" fillId="0" borderId="3" xfId="0" applyNumberFormat="1" applyFont="1" applyBorder="1" applyAlignment="1" applyProtection="1">
      <alignment horizontal="center"/>
      <protection locked="0"/>
    </xf>
    <xf numFmtId="49" fontId="9" fillId="0" borderId="6" xfId="0" applyNumberFormat="1" applyFont="1" applyBorder="1" applyAlignment="1" applyProtection="1">
      <alignment horizontal="center"/>
      <protection locked="0"/>
    </xf>
  </cellXfs>
  <cellStyles count="8">
    <cellStyle name="Accent2" xfId="7" builtinId="33"/>
    <cellStyle name="Bad" xfId="2" builtinId="27"/>
    <cellStyle name="Calculation" xfId="5" builtinId="22"/>
    <cellStyle name="Good" xfId="1" builtinId="26"/>
    <cellStyle name="Input" xfId="4" builtinId="20"/>
    <cellStyle name="Neutral" xfId="3" builtinId="28"/>
    <cellStyle name="Normal" xfId="0" builtinId="0"/>
    <cellStyle name="Percent" xfId="6" builtinId="5"/>
  </cellStyles>
  <dxfs count="4">
    <dxf>
      <numFmt numFmtId="19" formatCode="m/d/yyyy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E6E6E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openxmlformats.org/officeDocument/2006/relationships/calcChain" Target="calcChain.xml"/><Relationship Id="rId5" Type="http://schemas.openxmlformats.org/officeDocument/2006/relationships/theme" Target="theme/theme1.xml"/><Relationship Id="rId10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Jamie Martin" id="{40FFA9D0-19F0-4125-9050-F5A779D118BC}" userId="d869f564d5fe8b9e" providerId="Windows Live"/>
</personList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2891AE10-8AC7-4844-85B1-92483DD1CBD6}" autoFormatId="16" applyNumberFormats="0" applyBorderFormats="0" applyFontFormats="0" applyPatternFormats="0" applyAlignmentFormats="0" applyWidthHeightFormats="0">
  <queryTableRefresh nextId="9">
    <queryTableFields count="8">
      <queryTableField id="1" name="Name" tableColumnId="1"/>
      <queryTableField id="2" name="Tail" tableColumnId="2"/>
      <queryTableField id="3" name="Shift" tableColumnId="3"/>
      <queryTableField id="4" name="ProductionDate" tableColumnId="4"/>
      <queryTableField id="5" name="Year" tableColumnId="5"/>
      <queryTableField id="6" name="Month" tableColumnId="6"/>
      <queryTableField id="7" name="AvgG1" tableColumnId="7"/>
      <queryTableField id="8" name="CountSheets" tableColumnId="8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E8BA0838-D861-4FAD-BB45-ECB2406E10CD}" autoFormatId="16" applyNumberFormats="0" applyBorderFormats="0" applyFontFormats="0" applyPatternFormats="0" applyAlignmentFormats="0" applyWidthHeightFormats="0">
  <queryTableRefresh nextId="7">
    <queryTableFields count="6">
      <queryTableField id="1" name="Disamatic Production" tableColumnId="1"/>
      <queryTableField id="2" name="Column2" tableColumnId="2"/>
      <queryTableField id="3" name="Column3" tableColumnId="3"/>
      <queryTableField id="4" name="Column4" tableColumnId="4"/>
      <queryTableField id="5" name="Column5" tableColumnId="5"/>
      <queryTableField id="6" name="Column6" tableColumnId="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816CF4A-D2B8-43B8-B36C-D1C9A2D953F0}" name="M1_" displayName="M1_" ref="A1:H12" tableType="queryTable" totalsRowCount="1">
  <autoFilter ref="A1:H11" xr:uid="{A816CF4A-D2B8-43B8-B36C-D1C9A2D953F0}"/>
  <tableColumns count="8">
    <tableColumn id="1" xr3:uid="{46DD248C-B562-4266-93E6-D066F05124DB}" uniqueName="1" name="Name" queryTableFieldId="1" dataDxfId="3"/>
    <tableColumn id="2" xr3:uid="{DF22B1EF-BDC5-4472-B2D2-FE246894AE2E}" uniqueName="2" name="Tail" queryTableFieldId="2" dataDxfId="2"/>
    <tableColumn id="3" xr3:uid="{BED10081-3B53-4265-9BC8-A120BF00B45A}" uniqueName="3" name="Shift" queryTableFieldId="3"/>
    <tableColumn id="4" xr3:uid="{03127498-3F30-4532-9F41-2DAC7AB2EAEB}" uniqueName="4" name="ProductionDate" queryTableFieldId="4" dataDxfId="0"/>
    <tableColumn id="5" xr3:uid="{6903CB10-3716-4733-9DC4-967055B23EE2}" uniqueName="5" name="Year" queryTableFieldId="5"/>
    <tableColumn id="6" xr3:uid="{71BB615B-9F9E-464B-84FC-41A22755F03E}" uniqueName="6" name="Month" queryTableFieldId="6"/>
    <tableColumn id="7" xr3:uid="{CFDE86EE-5751-4A11-8A30-9CA1ED785EDF}" uniqueName="7" name="AvgG1" queryTableFieldId="7"/>
    <tableColumn id="8" xr3:uid="{3D39CB08-12C7-428C-8434-BFE4794D8DAA}" uniqueName="8" name="CountSheets" queryTableFieldId="8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D9458EE-51F1-4F18-8B59-62C1C14E7749}" name="Sheet1" displayName="Sheet1" ref="A1:F304" tableType="queryTable" totalsRowShown="0">
  <autoFilter ref="A1:F304" xr:uid="{FD9458EE-51F1-4F18-8B59-62C1C14E7749}"/>
  <sortState xmlns:xlrd2="http://schemas.microsoft.com/office/spreadsheetml/2017/richdata2" ref="A2:F304">
    <sortCondition ref="A1:A304"/>
  </sortState>
  <tableColumns count="6">
    <tableColumn id="1" xr3:uid="{9F0F6824-60BA-4A73-88B0-79F3E2C70DCA}" uniqueName="1" name="Disamatic Production" queryTableFieldId="1" dataDxfId="1"/>
    <tableColumn id="2" xr3:uid="{3A15DCB0-E164-490F-B8AC-2D42AE43AD23}" uniqueName="2" name="Column2" queryTableFieldId="2"/>
    <tableColumn id="3" xr3:uid="{A7D7BF06-2E07-4845-9545-E1E8F8CF40F0}" uniqueName="3" name="Column3" queryTableFieldId="3"/>
    <tableColumn id="4" xr3:uid="{3148071C-ED51-4362-8105-C369E14A85B2}" uniqueName="4" name="Column4" queryTableFieldId="4"/>
    <tableColumn id="5" xr3:uid="{9BA8D00C-7F0C-453E-AB5F-1146E68D7D61}" uniqueName="5" name="Column5" queryTableFieldId="5"/>
    <tableColumn id="6" xr3:uid="{11352CDE-0C84-46B0-B143-27693C6F3608}" uniqueName="6" name="Column6" queryTableFieldId="6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K2" dT="2025-09-28T10:51:19.89" personId="{40FFA9D0-19F0-4125-9050-F5A779D118BC}" id="{85BBB53C-D59B-40E7-A109-2ECC4A027A8C}">
    <text>Average time of changeovers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microsoft.com/office/2017/10/relationships/threadedComment" Target="../threadedComments/threadedComment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08B875-7A13-48D0-B8C1-F2FDDBF40017}">
  <sheetPr codeName="Sheet1"/>
  <dimension ref="A1:O34"/>
  <sheetViews>
    <sheetView tabSelected="1" view="pageLayout" zoomScaleNormal="90" zoomScaleSheetLayoutView="100" workbookViewId="0">
      <selection activeCell="J10" sqref="J10"/>
    </sheetView>
  </sheetViews>
  <sheetFormatPr defaultRowHeight="15" customHeight="1" x14ac:dyDescent="0.25"/>
  <cols>
    <col min="1" max="1" width="11.85546875" customWidth="1"/>
    <col min="2" max="2" width="10.28515625" customWidth="1"/>
    <col min="3" max="3" width="5.5703125" customWidth="1"/>
    <col min="4" max="4" width="44.42578125" customWidth="1"/>
    <col min="5" max="5" width="6.7109375" customWidth="1"/>
    <col min="6" max="6" width="7" customWidth="1"/>
    <col min="7" max="7" width="7.42578125" customWidth="1"/>
    <col min="8" max="8" width="7.28515625" customWidth="1"/>
    <col min="9" max="9" width="18" customWidth="1"/>
    <col min="11" max="11" width="5.85546875" customWidth="1"/>
    <col min="12" max="12" width="12.42578125" customWidth="1"/>
    <col min="13" max="13" width="13.42578125" customWidth="1"/>
    <col min="14" max="14" width="13.140625" customWidth="1"/>
    <col min="15" max="15" width="11.28515625" customWidth="1"/>
  </cols>
  <sheetData>
    <row r="1" spans="1:15" ht="15.75" x14ac:dyDescent="0.25">
      <c r="A1" s="1" t="s">
        <v>0</v>
      </c>
      <c r="B1" s="1" t="s">
        <v>1</v>
      </c>
      <c r="C1" s="1" t="s">
        <v>2</v>
      </c>
      <c r="D1" s="1" t="s">
        <v>3</v>
      </c>
      <c r="E1" s="34" t="s">
        <v>4</v>
      </c>
      <c r="F1" s="35"/>
      <c r="G1" s="4" t="s">
        <v>5</v>
      </c>
      <c r="H1" s="7">
        <f>O12</f>
        <v>0</v>
      </c>
      <c r="I1" s="10" t="s">
        <v>21</v>
      </c>
      <c r="J1" s="11" t="s">
        <v>35</v>
      </c>
      <c r="K1" s="10" t="s">
        <v>22</v>
      </c>
      <c r="L1" s="12" t="s">
        <v>36</v>
      </c>
      <c r="M1" s="13" t="s">
        <v>37</v>
      </c>
      <c r="N1" s="14"/>
      <c r="O1" s="22"/>
    </row>
    <row r="2" spans="1:15" ht="16.899999999999999" customHeight="1" x14ac:dyDescent="0.25">
      <c r="A2" s="29">
        <f ca="1">TODAY()</f>
        <v>46064</v>
      </c>
      <c r="B2" s="28">
        <f ca="1">A2-DATE(YEAR(A2),1,1)+1</f>
        <v>42</v>
      </c>
      <c r="C2" s="1">
        <v>2</v>
      </c>
      <c r="D2" s="1">
        <v>8</v>
      </c>
      <c r="E2" s="34" t="s">
        <v>6</v>
      </c>
      <c r="F2" s="35"/>
      <c r="G2" s="4" t="s">
        <v>7</v>
      </c>
      <c r="H2" s="31">
        <f>AVERAGE('M1'!G:G,H1:H1)</f>
        <v>0.76538916949054403</v>
      </c>
      <c r="I2" s="15" t="s">
        <v>41</v>
      </c>
      <c r="J2" s="10">
        <f>COUNTIF(C6:C17, "=9")</f>
        <v>0</v>
      </c>
      <c r="K2" s="10" t="str">
        <f>IFERROR(AVERAGEIF(C6:C17,"=9",B6:B17),"No PC")</f>
        <v>No PC</v>
      </c>
      <c r="L2" s="16">
        <f>IFERROR(J2*K2,0)</f>
        <v>0</v>
      </c>
      <c r="M2" s="13"/>
      <c r="N2" s="17"/>
      <c r="O2" s="22"/>
    </row>
    <row r="3" spans="1:15" ht="15.75" x14ac:dyDescent="0.25">
      <c r="A3" s="1" t="s">
        <v>8</v>
      </c>
      <c r="B3" s="1" t="s">
        <v>9</v>
      </c>
      <c r="C3" s="1" t="s">
        <v>10</v>
      </c>
      <c r="D3" s="1" t="s">
        <v>11</v>
      </c>
      <c r="E3" s="34" t="s">
        <v>12</v>
      </c>
      <c r="F3" s="35"/>
      <c r="G3" s="9"/>
      <c r="H3" s="1"/>
      <c r="I3" s="18" t="s">
        <v>45</v>
      </c>
      <c r="J3" s="32" cm="1">
        <f t="array" ref="J3">IFERROR(_xlfn.XLOOKUP(IFERROR(_xlfn.IFS(I3="0204778102","0204778101/102",I3="0204778526","0204778525/0204778526",I3="0204778527","0204749188/0204778527",I3="0204778528","0204704984/0204778528",I3="0204778529","0204704985/0204778529",I3="0282056",282056),I3),Sheet1!A:A,Sheet1!B:B,1,IF(I3="0282056",3,1),1),1)</f>
        <v>315</v>
      </c>
      <c r="K3" s="10">
        <f t="shared" ref="K3:K10" si="0">IF(AND(F19&lt;&gt;"pigs",F19&lt;&gt;"pig"),G19,0)</f>
        <v>0</v>
      </c>
      <c r="L3" s="33">
        <f t="shared" ref="L3:L10" si="1">(K3/J3)*60</f>
        <v>0</v>
      </c>
      <c r="M3" s="13">
        <f>(K3/G5)*60</f>
        <v>0</v>
      </c>
      <c r="N3" s="14"/>
      <c r="O3" s="22"/>
    </row>
    <row r="4" spans="1:15" ht="15.75" x14ac:dyDescent="0.25">
      <c r="A4" s="28" cm="1">
        <f t="array" ref="A4">_xlfn.IFS(AND(C2=3,D2=8),2200,AND(C2=3,D2=10),2000,AND(C2=2,D2=10),1600,AND(C2=2,D2=8),1400,C2=1,600)</f>
        <v>1400</v>
      </c>
      <c r="B4" s="28" cm="1">
        <f t="array" ref="B4">_xlfn.IFS(AND(C2=1,D2=8), 1400, AND(C2=1,D2=10),1600, AND(C2=2,D2=8), 2200, AND(C2=2,D2=10), 2000, C2=3,600)</f>
        <v>2200</v>
      </c>
      <c r="C4" s="28" cm="1">
        <f t="array" ref="C4">_xlfn.IFS(C2&lt;&gt;2,D2*60,AND(C2=2,D2=8),D2*60,AND(C2=2,D2=10),D2*24)</f>
        <v>480</v>
      </c>
      <c r="D4" s="27">
        <f>SUM(B6:B17)</f>
        <v>0</v>
      </c>
      <c r="E4" s="34" t="s">
        <v>13</v>
      </c>
      <c r="F4" s="35"/>
      <c r="G4" s="5" t="s">
        <v>14</v>
      </c>
      <c r="H4" s="1"/>
      <c r="I4" s="18">
        <f t="shared" ref="I4:I10" si="2">F20</f>
        <v>0</v>
      </c>
      <c r="J4" s="32" cm="1">
        <f t="array" ref="J4">IFERROR(_xlfn.XLOOKUP(IFERROR(_xlfn.IFS(I4="0204778102","0204778101/102",I4="0204778526","0204778525/0204778526",I4="0204778527","0204749188/0204778527",I4="0204778528","0204704984/0204778528",I4="0204778529","0204704985/0204778529",I4="0282056",282056),I4),Sheet1!A:A,Sheet1!B:B,1,IF(I4="0282056",3,1),1),1)</f>
        <v>315</v>
      </c>
      <c r="K4" s="10">
        <f t="shared" si="0"/>
        <v>0</v>
      </c>
      <c r="L4" s="33">
        <f t="shared" si="1"/>
        <v>0</v>
      </c>
      <c r="M4" s="13">
        <f>(K4/G5)*60</f>
        <v>0</v>
      </c>
      <c r="N4" s="19"/>
      <c r="O4" s="22"/>
    </row>
    <row r="5" spans="1:15" ht="15.75" x14ac:dyDescent="0.25">
      <c r="A5" s="1" t="s">
        <v>15</v>
      </c>
      <c r="B5" s="1" t="s">
        <v>16</v>
      </c>
      <c r="C5" s="1" t="s">
        <v>17</v>
      </c>
      <c r="D5" s="2" t="s">
        <v>18</v>
      </c>
      <c r="E5" s="34" t="s">
        <v>19</v>
      </c>
      <c r="F5" s="35"/>
      <c r="G5" s="4">
        <v>240</v>
      </c>
      <c r="H5" s="1"/>
      <c r="I5" s="18">
        <f t="shared" si="2"/>
        <v>0</v>
      </c>
      <c r="J5" s="32" cm="1">
        <f t="array" ref="J5">IFERROR(_xlfn.XLOOKUP(IFERROR(_xlfn.IFS(I5="0204778102","0204778101/102",I5="0204778526","0204778525/0204778526",I5="0204778527","0204749188/0204778527",I5="0204778528","0204704984/0204778528",I5="0204778529","0204704985/0204778529",I5="0282056",282056),I5),Sheet1!A:A,Sheet1!B:B,1,IF(I5="0282056",3,1),1),1)</f>
        <v>315</v>
      </c>
      <c r="K5" s="10">
        <f t="shared" si="0"/>
        <v>0</v>
      </c>
      <c r="L5" s="33">
        <f t="shared" si="1"/>
        <v>0</v>
      </c>
      <c r="M5" s="13">
        <f>(K5/G5)*60</f>
        <v>0</v>
      </c>
      <c r="N5" s="14" t="s">
        <v>38</v>
      </c>
      <c r="O5" s="22"/>
    </row>
    <row r="6" spans="1:15" ht="26.45" customHeight="1" x14ac:dyDescent="0.25">
      <c r="A6" s="8"/>
      <c r="B6" s="3"/>
      <c r="C6" s="1"/>
      <c r="D6" s="37"/>
      <c r="E6" s="38"/>
      <c r="F6" s="38"/>
      <c r="G6" s="39"/>
      <c r="H6" s="8"/>
      <c r="I6" s="18">
        <f t="shared" si="2"/>
        <v>0</v>
      </c>
      <c r="J6" s="32" cm="1">
        <f t="array" ref="J6">IFERROR(_xlfn.XLOOKUP(IFERROR(_xlfn.IFS(I6="0204778102","0204778101/102",I6="0204778526","0204778525/0204778526",I6="0204778527","0204749188/0204778527",I6="0204778528","0204704984/0204778528",I6="0204778529","0204704985/0204778529",I6="0282056",282056),I6),Sheet1!A:A,Sheet1!B:B,1,IF(I6="0282056",3,1),1),1)</f>
        <v>315</v>
      </c>
      <c r="K6" s="10">
        <f t="shared" si="0"/>
        <v>0</v>
      </c>
      <c r="L6" s="33">
        <f t="shared" si="1"/>
        <v>0</v>
      </c>
      <c r="M6" s="13">
        <f>(K6/G5)*60</f>
        <v>0</v>
      </c>
      <c r="N6" s="19">
        <f>K11/D2</f>
        <v>0</v>
      </c>
      <c r="O6" s="22"/>
    </row>
    <row r="7" spans="1:15" ht="26.45" customHeight="1" x14ac:dyDescent="0.25">
      <c r="A7" s="8"/>
      <c r="B7" s="3"/>
      <c r="C7" s="1"/>
      <c r="D7" s="37"/>
      <c r="E7" s="38"/>
      <c r="F7" s="38"/>
      <c r="G7" s="39"/>
      <c r="H7" s="8"/>
      <c r="I7" s="18">
        <f t="shared" si="2"/>
        <v>0</v>
      </c>
      <c r="J7" s="32" cm="1">
        <f t="array" ref="J7">IFERROR(_xlfn.XLOOKUP(IFERROR(_xlfn.IFS(I7="0204778102","0204778101/102",I7="0204778526","0204778525/0204778526",I7="0204778527","0204749188/0204778527",I7="0204778528","0204704984/0204778528",I7="0204778529","0204704985/0204778529",I7="0282056",282056),I7),Sheet1!A:A,Sheet1!B:B,1,IF(I7="0282056",3,1),1),1)</f>
        <v>315</v>
      </c>
      <c r="K7" s="10">
        <f t="shared" si="0"/>
        <v>0</v>
      </c>
      <c r="L7" s="33">
        <f t="shared" si="1"/>
        <v>0</v>
      </c>
      <c r="M7" s="13">
        <f>(K7/G5)*60</f>
        <v>0</v>
      </c>
      <c r="N7" s="14"/>
      <c r="O7" s="22"/>
    </row>
    <row r="8" spans="1:15" ht="26.45" customHeight="1" x14ac:dyDescent="0.25">
      <c r="A8" s="8"/>
      <c r="B8" s="3"/>
      <c r="C8" s="1"/>
      <c r="D8" s="37"/>
      <c r="E8" s="38"/>
      <c r="F8" s="38"/>
      <c r="G8" s="39"/>
      <c r="H8" s="8"/>
      <c r="I8" s="18">
        <f t="shared" si="2"/>
        <v>0</v>
      </c>
      <c r="J8" s="32" cm="1">
        <f t="array" ref="J8">IFERROR(_xlfn.XLOOKUP(IFERROR(_xlfn.IFS(I8="0204778102","0204778101/102",I8="0204778526","0204778525/0204778526",I8="0204778527","0204749188/0204778527",I8="0204778528","0204704984/0204778528",I8="0204778529","0204704985/0204778529",I8="0282056",282056),I8),Sheet1!A:A,Sheet1!B:B,1,IF(I8="0282056",3,1),1),1)</f>
        <v>315</v>
      </c>
      <c r="K8" s="10">
        <f t="shared" si="0"/>
        <v>0</v>
      </c>
      <c r="L8" s="33">
        <f t="shared" si="1"/>
        <v>0</v>
      </c>
      <c r="M8" s="13">
        <f>(K8/G5)*60</f>
        <v>0</v>
      </c>
      <c r="N8" s="20"/>
      <c r="O8" s="22"/>
    </row>
    <row r="9" spans="1:15" ht="26.45" customHeight="1" x14ac:dyDescent="0.25">
      <c r="A9" s="8"/>
      <c r="B9" s="3"/>
      <c r="C9" s="1"/>
      <c r="D9" s="37"/>
      <c r="E9" s="38"/>
      <c r="F9" s="38"/>
      <c r="G9" s="39"/>
      <c r="H9" s="8"/>
      <c r="I9" s="18">
        <f t="shared" si="2"/>
        <v>0</v>
      </c>
      <c r="J9" s="32" cm="1">
        <f t="array" ref="J9">IFERROR(_xlfn.XLOOKUP(IFERROR(_xlfn.IFS(I9="0204778102","0204778101/102",I9="0204778526","0204778525/0204778526",I9="0204778527","0204749188/0204778527",I9="0204778528","0204704984/0204778528",I9="0204778529","0204704985/0204778529",I9="0282056",282056),I9),Sheet1!A:A,Sheet1!B:B,1,IF(I9="0282056",3,1),1),1)</f>
        <v>315</v>
      </c>
      <c r="K9" s="10">
        <f t="shared" si="0"/>
        <v>0</v>
      </c>
      <c r="L9" s="33">
        <f t="shared" si="1"/>
        <v>0</v>
      </c>
      <c r="M9" s="13">
        <f>(K9/G5)*60</f>
        <v>0</v>
      </c>
      <c r="N9" s="21"/>
      <c r="O9" s="22"/>
    </row>
    <row r="10" spans="1:15" ht="26.45" customHeight="1" x14ac:dyDescent="0.25">
      <c r="A10" s="8"/>
      <c r="B10" s="3"/>
      <c r="C10" s="1"/>
      <c r="D10" s="37"/>
      <c r="E10" s="38"/>
      <c r="F10" s="38"/>
      <c r="G10" s="39"/>
      <c r="H10" s="8"/>
      <c r="I10" s="18">
        <f t="shared" si="2"/>
        <v>0</v>
      </c>
      <c r="J10" s="32" cm="1">
        <f t="array" ref="J10">IFERROR(_xlfn.XLOOKUP(IFERROR(_xlfn.IFS(I10="0204778102","0204778101/102",I10="0204778526","0204778525/0204778526",I10="0204778527","0204749188/0204778527",I10="0204778528","0204704984/0204778528",I10="0204778529","0204704985/0204778529",I10="0282056",282056),I10),Sheet1!A:A,Sheet1!B:B,1,IF(I10="0282056",3,1),1),1)</f>
        <v>315</v>
      </c>
      <c r="K10" s="10">
        <f t="shared" si="0"/>
        <v>0</v>
      </c>
      <c r="L10" s="33">
        <f t="shared" si="1"/>
        <v>0</v>
      </c>
      <c r="M10" s="13">
        <f>(K10/G5)*60</f>
        <v>0</v>
      </c>
      <c r="N10" s="21" t="s">
        <v>43</v>
      </c>
      <c r="O10" s="22" t="s">
        <v>42</v>
      </c>
    </row>
    <row r="11" spans="1:15" ht="26.45" customHeight="1" x14ac:dyDescent="0.25">
      <c r="A11" s="8"/>
      <c r="B11" s="3"/>
      <c r="C11" s="1"/>
      <c r="D11" s="37"/>
      <c r="E11" s="38"/>
      <c r="F11" s="38"/>
      <c r="G11" s="39"/>
      <c r="H11" s="8"/>
      <c r="I11" s="22" t="s">
        <v>24</v>
      </c>
      <c r="J11" s="22"/>
      <c r="K11" s="22">
        <f>SUM(K3:K10)</f>
        <v>0</v>
      </c>
      <c r="L11" s="13">
        <f>SUM(L3:L10)</f>
        <v>0</v>
      </c>
      <c r="M11" s="13">
        <f>SUM(M3:M10)</f>
        <v>0</v>
      </c>
      <c r="N11" s="23">
        <f>(C4-L11-SUM(B6:B17))</f>
        <v>480</v>
      </c>
      <c r="O11" s="25">
        <f>(C4-L11)/(C4)</f>
        <v>1</v>
      </c>
    </row>
    <row r="12" spans="1:15" ht="26.45" customHeight="1" x14ac:dyDescent="0.25">
      <c r="A12" s="8"/>
      <c r="B12" s="3"/>
      <c r="C12" s="1"/>
      <c r="D12" s="37"/>
      <c r="E12" s="38"/>
      <c r="F12" s="38"/>
      <c r="G12" s="39"/>
      <c r="H12" s="8"/>
      <c r="I12" s="10"/>
      <c r="J12" s="11"/>
      <c r="K12" s="10"/>
      <c r="L12" s="17"/>
      <c r="M12" s="13"/>
      <c r="N12" s="22" t="s">
        <v>39</v>
      </c>
      <c r="O12" s="25">
        <f>L11/C4</f>
        <v>0</v>
      </c>
    </row>
    <row r="13" spans="1:15" ht="26.45" customHeight="1" x14ac:dyDescent="0.25">
      <c r="A13" s="8"/>
      <c r="B13" s="3"/>
      <c r="C13" s="1"/>
      <c r="D13" s="37"/>
      <c r="E13" s="38"/>
      <c r="F13" s="38"/>
      <c r="G13" s="39"/>
      <c r="H13" s="8"/>
      <c r="I13" s="10"/>
      <c r="J13" s="11"/>
      <c r="K13" s="10"/>
      <c r="L13" s="17">
        <f>L11+D4</f>
        <v>0</v>
      </c>
      <c r="M13" s="13">
        <f>IFERROR(N11/COUNT(B6:B16),0)</f>
        <v>0</v>
      </c>
      <c r="N13" s="22" t="s">
        <v>40</v>
      </c>
      <c r="O13" s="22"/>
    </row>
    <row r="14" spans="1:15" ht="26.45" customHeight="1" x14ac:dyDescent="0.25">
      <c r="A14" s="8"/>
      <c r="B14" s="3"/>
      <c r="C14" s="1"/>
      <c r="D14" s="37"/>
      <c r="E14" s="38"/>
      <c r="F14" s="38"/>
      <c r="G14" s="39"/>
      <c r="H14" s="8"/>
      <c r="I14" s="10"/>
      <c r="J14" s="11"/>
      <c r="K14" s="10"/>
      <c r="L14" s="17"/>
      <c r="M14" s="13"/>
      <c r="N14" s="24" cm="1">
        <f t="array" ref="N14">_xlfn.IFS(AND(C2&lt;&gt;2,D2&lt;&gt;10),K11-(G5*D2),AND(C2=2,D2=10),K11-((G5/2)*D2),AND(C2=2,D2=8),K11-G5*D2,AND(C2=1,D2=8),K11-G5*D2,AND(C2=3,D2=8),K11-G5*D2,AND(C2=3,D2=10),K11-G5*D2,AND(C2=1,D2=10),K11-G5*D2)</f>
        <v>-1920</v>
      </c>
      <c r="O14" s="22"/>
    </row>
    <row r="15" spans="1:15" ht="26.45" customHeight="1" x14ac:dyDescent="0.25">
      <c r="A15" s="8"/>
      <c r="B15" s="3"/>
      <c r="C15" s="1"/>
      <c r="D15" s="37"/>
      <c r="E15" s="38"/>
      <c r="F15" s="38"/>
      <c r="G15" s="39"/>
      <c r="H15" s="8"/>
      <c r="I15" t="s">
        <v>44</v>
      </c>
    </row>
    <row r="16" spans="1:15" ht="26.45" customHeight="1" x14ac:dyDescent="0.25">
      <c r="A16" s="8"/>
      <c r="B16" s="3"/>
      <c r="C16" s="1"/>
      <c r="D16" s="37"/>
      <c r="E16" s="38"/>
      <c r="F16" s="38"/>
      <c r="G16" s="39"/>
      <c r="H16" s="8"/>
      <c r="I16" t="str">
        <f ca="1">"Disamatic Production " &amp; C2 &amp; TEXT(TODAY(),"MMDDYY")</f>
        <v>Disamatic Production 2021126</v>
      </c>
    </row>
    <row r="17" spans="1:8" ht="26.45" customHeight="1" x14ac:dyDescent="0.25">
      <c r="A17" s="1"/>
      <c r="B17" s="3"/>
      <c r="C17" s="1"/>
      <c r="D17" s="34"/>
      <c r="E17" s="36"/>
      <c r="F17" s="36"/>
      <c r="G17" s="35"/>
      <c r="H17" s="1"/>
    </row>
    <row r="18" spans="1:8" ht="15.75" x14ac:dyDescent="0.25">
      <c r="A18" s="1" t="s">
        <v>20</v>
      </c>
      <c r="B18" s="1"/>
      <c r="C18" s="1"/>
      <c r="D18" s="1"/>
      <c r="E18" s="34" t="s">
        <v>21</v>
      </c>
      <c r="F18" s="35"/>
      <c r="G18" s="4" t="s">
        <v>22</v>
      </c>
      <c r="H18" s="1"/>
    </row>
    <row r="19" spans="1:8" ht="15.75" x14ac:dyDescent="0.25">
      <c r="A19" s="8"/>
      <c r="B19" s="1"/>
      <c r="C19" s="1"/>
      <c r="D19" s="1"/>
      <c r="E19" s="42"/>
      <c r="F19" s="43"/>
      <c r="G19" s="30"/>
      <c r="H19" s="1"/>
    </row>
    <row r="20" spans="1:8" ht="15.75" x14ac:dyDescent="0.25">
      <c r="A20" s="8"/>
      <c r="B20" s="1"/>
      <c r="C20" s="1"/>
      <c r="D20" s="1"/>
      <c r="E20" s="37"/>
      <c r="F20" s="39"/>
      <c r="G20" s="30"/>
      <c r="H20" s="1"/>
    </row>
    <row r="21" spans="1:8" ht="15.75" x14ac:dyDescent="0.25">
      <c r="A21" s="8"/>
      <c r="B21" s="1"/>
      <c r="C21" s="1"/>
      <c r="D21" s="1"/>
      <c r="E21" s="37"/>
      <c r="F21" s="39"/>
      <c r="G21" s="30"/>
      <c r="H21" s="1"/>
    </row>
    <row r="22" spans="1:8" ht="15.75" x14ac:dyDescent="0.25">
      <c r="A22" s="8"/>
      <c r="B22" s="1"/>
      <c r="C22" s="1"/>
      <c r="D22" s="1"/>
      <c r="E22" s="37"/>
      <c r="F22" s="39"/>
      <c r="G22" s="30"/>
      <c r="H22" s="1"/>
    </row>
    <row r="23" spans="1:8" ht="15.75" x14ac:dyDescent="0.25">
      <c r="A23" s="8"/>
      <c r="B23" s="1"/>
      <c r="C23" s="1"/>
      <c r="D23" s="1"/>
      <c r="E23" s="37"/>
      <c r="F23" s="39"/>
      <c r="G23" s="30"/>
      <c r="H23" s="1"/>
    </row>
    <row r="24" spans="1:8" ht="15.75" x14ac:dyDescent="0.25">
      <c r="A24" s="8"/>
      <c r="B24" s="1"/>
      <c r="C24" s="1"/>
      <c r="D24" s="1"/>
      <c r="E24" s="37"/>
      <c r="F24" s="39"/>
      <c r="G24" s="30"/>
      <c r="H24" s="1"/>
    </row>
    <row r="25" spans="1:8" ht="15.75" x14ac:dyDescent="0.25">
      <c r="A25" s="8"/>
      <c r="B25" s="1"/>
      <c r="C25" s="1"/>
      <c r="D25" s="1"/>
      <c r="E25" s="37"/>
      <c r="F25" s="39"/>
      <c r="G25" s="30"/>
      <c r="H25" s="1"/>
    </row>
    <row r="26" spans="1:8" ht="15.75" x14ac:dyDescent="0.25">
      <c r="A26" s="8"/>
      <c r="B26" s="1"/>
      <c r="C26" s="1"/>
      <c r="D26" s="1"/>
      <c r="E26" s="37"/>
      <c r="F26" s="39"/>
      <c r="G26" s="30"/>
      <c r="H26" s="1"/>
    </row>
    <row r="27" spans="1:8" ht="15.75" x14ac:dyDescent="0.25">
      <c r="A27" s="8"/>
      <c r="B27" s="1"/>
      <c r="C27" s="1"/>
      <c r="D27" s="1"/>
      <c r="E27" s="34"/>
      <c r="F27" s="35"/>
      <c r="G27" s="4" t="s">
        <v>23</v>
      </c>
      <c r="H27" s="1"/>
    </row>
    <row r="28" spans="1:8" ht="15.75" x14ac:dyDescent="0.25">
      <c r="A28" s="1" t="s">
        <v>24</v>
      </c>
      <c r="B28" s="1"/>
      <c r="C28" s="1"/>
      <c r="D28" s="1"/>
      <c r="E28" s="34"/>
      <c r="F28" s="35"/>
      <c r="G28" s="40">
        <f>SUM(G19:G24)</f>
        <v>0</v>
      </c>
      <c r="H28" s="41"/>
    </row>
    <row r="29" spans="1:8" ht="15.75" x14ac:dyDescent="0.25">
      <c r="A29" s="6" t="s">
        <v>25</v>
      </c>
      <c r="B29" s="6"/>
      <c r="C29" s="6">
        <v>1</v>
      </c>
      <c r="D29" s="6" t="s">
        <v>26</v>
      </c>
      <c r="E29" s="6"/>
      <c r="F29" s="6">
        <v>6</v>
      </c>
      <c r="G29" s="6"/>
      <c r="H29" s="6"/>
    </row>
    <row r="30" spans="1:8" ht="15.75" x14ac:dyDescent="0.25">
      <c r="A30" s="6" t="s">
        <v>27</v>
      </c>
      <c r="B30" s="6"/>
      <c r="C30" s="6">
        <v>2</v>
      </c>
      <c r="D30" s="6" t="s">
        <v>28</v>
      </c>
      <c r="E30" s="6"/>
      <c r="F30" s="6">
        <v>7</v>
      </c>
      <c r="G30" s="6"/>
      <c r="H30" s="6"/>
    </row>
    <row r="31" spans="1:8" ht="15.75" x14ac:dyDescent="0.25">
      <c r="A31" s="6" t="s">
        <v>29</v>
      </c>
      <c r="B31" s="6"/>
      <c r="C31" s="6">
        <v>3</v>
      </c>
      <c r="D31" s="6" t="s">
        <v>30</v>
      </c>
      <c r="E31" s="6"/>
      <c r="F31" s="6">
        <v>8</v>
      </c>
      <c r="G31" s="6"/>
      <c r="H31" s="6"/>
    </row>
    <row r="32" spans="1:8" ht="15.75" x14ac:dyDescent="0.25">
      <c r="A32" s="6" t="s">
        <v>31</v>
      </c>
      <c r="B32" s="6"/>
      <c r="C32" s="6">
        <v>4</v>
      </c>
      <c r="D32" s="6" t="s">
        <v>32</v>
      </c>
      <c r="E32" s="6"/>
      <c r="F32" s="6">
        <v>9</v>
      </c>
      <c r="G32" s="6"/>
      <c r="H32" s="6"/>
    </row>
    <row r="33" spans="1:8" ht="15.75" x14ac:dyDescent="0.25">
      <c r="A33" s="6" t="s">
        <v>33</v>
      </c>
      <c r="B33" s="6"/>
      <c r="C33" s="6">
        <v>5</v>
      </c>
      <c r="D33" s="6" t="s">
        <v>34</v>
      </c>
      <c r="E33" s="6"/>
      <c r="F33" s="6">
        <v>10</v>
      </c>
      <c r="G33" s="6"/>
      <c r="H33" s="6"/>
    </row>
    <row r="34" spans="1:8" ht="15.75" x14ac:dyDescent="0.25">
      <c r="A34" s="6"/>
      <c r="B34" s="6"/>
      <c r="C34" s="6"/>
      <c r="D34" s="6"/>
      <c r="E34" s="6"/>
      <c r="F34" s="6"/>
      <c r="G34" s="6"/>
      <c r="H34" s="6"/>
    </row>
  </sheetData>
  <mergeCells count="29">
    <mergeCell ref="D8:G8"/>
    <mergeCell ref="D7:G7"/>
    <mergeCell ref="D6:G6"/>
    <mergeCell ref="D14:G14"/>
    <mergeCell ref="D13:G13"/>
    <mergeCell ref="D12:G12"/>
    <mergeCell ref="D11:G11"/>
    <mergeCell ref="D10:G10"/>
    <mergeCell ref="D9:G9"/>
    <mergeCell ref="E28:F28"/>
    <mergeCell ref="D17:G17"/>
    <mergeCell ref="D16:G16"/>
    <mergeCell ref="D15:G15"/>
    <mergeCell ref="E22:F22"/>
    <mergeCell ref="E23:F23"/>
    <mergeCell ref="E24:F24"/>
    <mergeCell ref="E25:F25"/>
    <mergeCell ref="E26:F26"/>
    <mergeCell ref="E27:F27"/>
    <mergeCell ref="G28:H28"/>
    <mergeCell ref="E18:F18"/>
    <mergeCell ref="E19:F19"/>
    <mergeCell ref="E20:F20"/>
    <mergeCell ref="E21:F21"/>
    <mergeCell ref="E1:F1"/>
    <mergeCell ref="E2:F2"/>
    <mergeCell ref="E3:F3"/>
    <mergeCell ref="E4:F4"/>
    <mergeCell ref="E5:F5"/>
  </mergeCells>
  <pageMargins left="0.25" right="0.25" top="0.75" bottom="0.75" header="0.3" footer="0.3"/>
  <pageSetup orientation="portrait" r:id="rId1"/>
  <headerFooter>
    <oddHeader xml:space="preserve">&amp;C&amp;"-,Bold"&amp;14Disamatic Production
</oddHeader>
    <oddFooter xml:space="preserve">&amp;LGLC Form 510-09 Rev: 10/12/2025
</oddFooter>
  </headerFooter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CBA864-74A6-4726-AE08-47B1D9620CB4}">
  <sheetPr codeName="Sheet2"/>
  <dimension ref="A1:H11"/>
  <sheetViews>
    <sheetView workbookViewId="0">
      <selection activeCell="G11" sqref="G11"/>
    </sheetView>
  </sheetViews>
  <sheetFormatPr defaultRowHeight="15" x14ac:dyDescent="0.25"/>
  <cols>
    <col min="1" max="1" width="32.5703125" bestFit="1" customWidth="1"/>
    <col min="2" max="2" width="8" bestFit="1" customWidth="1"/>
    <col min="3" max="3" width="7.42578125" bestFit="1" customWidth="1"/>
    <col min="4" max="4" width="17.28515625" bestFit="1" customWidth="1"/>
    <col min="5" max="5" width="7.28515625" bestFit="1" customWidth="1"/>
    <col min="6" max="6" width="9.28515625" bestFit="1" customWidth="1"/>
    <col min="7" max="7" width="12" bestFit="1" customWidth="1"/>
    <col min="8" max="8" width="14.5703125" bestFit="1" customWidth="1"/>
  </cols>
  <sheetData>
    <row r="1" spans="1:8" x14ac:dyDescent="0.25">
      <c r="A1"/>
      <c r="B1"/>
      <c r="C1"/>
      <c r="D1"/>
      <c r="E1"/>
      <c r="F1"/>
      <c r="G1"/>
      <c r="H1"/>
    </row>
    <row r="2" spans="1:8" x14ac:dyDescent="0.25">
      <c r="A2"/>
      <c r="B2"/>
      <c r="C2"/>
      <c r="D2" s="26"/>
      <c r="E2"/>
      <c r="F2"/>
      <c r="G2"/>
      <c r="H2"/>
    </row>
    <row r="3" spans="1:8" x14ac:dyDescent="0.25">
      <c r="A3"/>
      <c r="B3"/>
      <c r="C3"/>
      <c r="D3" s="26"/>
      <c r="E3"/>
      <c r="F3"/>
      <c r="G3"/>
      <c r="H3"/>
    </row>
    <row r="4" spans="1:8" x14ac:dyDescent="0.25">
      <c r="A4"/>
      <c r="B4"/>
      <c r="C4"/>
      <c r="D4" s="26"/>
      <c r="E4"/>
      <c r="F4"/>
      <c r="G4"/>
      <c r="H4"/>
    </row>
    <row r="5" spans="1:8" x14ac:dyDescent="0.25">
      <c r="A5"/>
      <c r="B5"/>
      <c r="C5"/>
      <c r="D5" s="26"/>
      <c r="E5"/>
      <c r="F5"/>
      <c r="G5"/>
      <c r="H5"/>
    </row>
    <row r="6" spans="1:8" x14ac:dyDescent="0.25">
      <c r="A6"/>
      <c r="B6"/>
      <c r="C6"/>
      <c r="D6" s="26"/>
      <c r="E6"/>
      <c r="F6"/>
      <c r="G6"/>
      <c r="H6"/>
    </row>
    <row r="7" spans="1:8" x14ac:dyDescent="0.25">
      <c r="A7"/>
      <c r="B7"/>
      <c r="C7"/>
      <c r="D7" s="26"/>
      <c r="E7"/>
      <c r="F7"/>
      <c r="G7"/>
      <c r="H7"/>
    </row>
    <row r="8" spans="1:8" x14ac:dyDescent="0.25">
      <c r="A8"/>
      <c r="B8"/>
      <c r="C8"/>
      <c r="D8" s="26"/>
      <c r="E8"/>
      <c r="F8"/>
      <c r="G8"/>
      <c r="H8"/>
    </row>
    <row r="9" spans="1:8" x14ac:dyDescent="0.25">
      <c r="A9"/>
      <c r="B9"/>
      <c r="C9"/>
      <c r="D9" s="26"/>
      <c r="E9"/>
      <c r="F9"/>
      <c r="G9"/>
      <c r="H9"/>
    </row>
    <row r="10" spans="1:8" x14ac:dyDescent="0.25">
      <c r="A10"/>
      <c r="B10"/>
      <c r="C10"/>
      <c r="D10" s="26"/>
      <c r="E10"/>
      <c r="F10"/>
      <c r="G10"/>
      <c r="H10"/>
    </row>
    <row r="11" spans="1:8" x14ac:dyDescent="0.25">
      <c r="A11"/>
      <c r="B11"/>
      <c r="C11"/>
      <c r="D11" s="26"/>
      <c r="E11"/>
      <c r="F11"/>
      <c r="G11"/>
      <c r="H11"/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B31055-56C4-4600-85EF-56B887594891}">
  <sheetPr codeName="Sheet4"/>
  <dimension ref="A1:F304"/>
  <sheetViews>
    <sheetView workbookViewId="0"/>
  </sheetViews>
  <sheetFormatPr defaultRowHeight="15" x14ac:dyDescent="0.25"/>
  <cols>
    <col min="1" max="1" width="22.28515625" bestFit="1" customWidth="1"/>
    <col min="2" max="6" width="11.140625" bestFit="1" customWidth="1"/>
  </cols>
  <sheetData>
    <row r="1" spans="1:6" x14ac:dyDescent="0.25">
      <c r="A1"/>
      <c r="B1"/>
      <c r="C1"/>
      <c r="D1"/>
      <c r="E1"/>
      <c r="F1"/>
    </row>
    <row r="2" spans="1:6" x14ac:dyDescent="0.25">
      <c r="A2"/>
      <c r="B2"/>
      <c r="C2"/>
      <c r="D2"/>
    </row>
    <row r="3" spans="1:6" x14ac:dyDescent="0.25">
      <c r="A3"/>
      <c r="B3"/>
      <c r="C3"/>
      <c r="D3"/>
    </row>
    <row r="4" spans="1:6" x14ac:dyDescent="0.25">
      <c r="A4"/>
      <c r="B4"/>
      <c r="C4"/>
      <c r="D4"/>
    </row>
    <row r="5" spans="1:6" x14ac:dyDescent="0.25">
      <c r="A5"/>
      <c r="B5"/>
      <c r="C5"/>
      <c r="D5"/>
    </row>
    <row r="6" spans="1:6" x14ac:dyDescent="0.25">
      <c r="A6"/>
      <c r="B6"/>
      <c r="C6"/>
      <c r="D6"/>
    </row>
    <row r="7" spans="1:6" x14ac:dyDescent="0.25">
      <c r="A7"/>
      <c r="B7"/>
      <c r="C7"/>
      <c r="D7"/>
    </row>
    <row r="8" spans="1:6" x14ac:dyDescent="0.25">
      <c r="A8"/>
      <c r="B8"/>
      <c r="C8"/>
      <c r="D8"/>
    </row>
    <row r="9" spans="1:6" x14ac:dyDescent="0.25">
      <c r="A9"/>
      <c r="B9"/>
      <c r="C9"/>
      <c r="D9"/>
    </row>
    <row r="10" spans="1:6" x14ac:dyDescent="0.25">
      <c r="A10"/>
      <c r="B10"/>
      <c r="C10"/>
      <c r="D10"/>
    </row>
    <row r="11" spans="1:6" x14ac:dyDescent="0.25">
      <c r="A11"/>
      <c r="B11"/>
      <c r="C11"/>
      <c r="D11"/>
    </row>
    <row r="12" spans="1:6" x14ac:dyDescent="0.25">
      <c r="A12"/>
      <c r="B12"/>
      <c r="C12"/>
      <c r="D12"/>
    </row>
    <row r="13" spans="1:6" x14ac:dyDescent="0.25">
      <c r="A13"/>
      <c r="B13"/>
      <c r="C13"/>
      <c r="D13"/>
    </row>
    <row r="14" spans="1:6" x14ac:dyDescent="0.25">
      <c r="A14"/>
      <c r="B14"/>
      <c r="C14"/>
      <c r="D14"/>
    </row>
    <row r="15" spans="1:6" x14ac:dyDescent="0.25">
      <c r="A15"/>
      <c r="B15"/>
      <c r="C15"/>
      <c r="D15"/>
    </row>
    <row r="16" spans="1:6" x14ac:dyDescent="0.25">
      <c r="A16"/>
      <c r="B16"/>
      <c r="C16"/>
      <c r="D16"/>
    </row>
    <row r="17" spans="1:4" x14ac:dyDescent="0.25">
      <c r="A17"/>
      <c r="B17"/>
      <c r="C17"/>
      <c r="D17"/>
    </row>
    <row r="18" spans="1:4" x14ac:dyDescent="0.25">
      <c r="A18"/>
      <c r="B18"/>
      <c r="C18"/>
      <c r="D18"/>
    </row>
    <row r="19" spans="1:4" x14ac:dyDescent="0.25">
      <c r="A19"/>
      <c r="B19"/>
      <c r="C19"/>
      <c r="D19"/>
    </row>
    <row r="20" spans="1:4" x14ac:dyDescent="0.25">
      <c r="A20"/>
      <c r="B20"/>
      <c r="C20"/>
      <c r="D20"/>
    </row>
    <row r="21" spans="1:4" x14ac:dyDescent="0.25">
      <c r="A21"/>
      <c r="B21"/>
      <c r="C21"/>
      <c r="D21"/>
    </row>
    <row r="22" spans="1:4" x14ac:dyDescent="0.25">
      <c r="A22"/>
      <c r="B22"/>
      <c r="C22"/>
      <c r="D22"/>
    </row>
    <row r="23" spans="1:4" x14ac:dyDescent="0.25">
      <c r="A23"/>
      <c r="B23"/>
      <c r="C23"/>
      <c r="D23"/>
    </row>
    <row r="24" spans="1:4" x14ac:dyDescent="0.25">
      <c r="A24"/>
      <c r="B24"/>
      <c r="C24"/>
      <c r="D24"/>
    </row>
    <row r="25" spans="1:4" x14ac:dyDescent="0.25">
      <c r="A25"/>
      <c r="B25"/>
      <c r="C25"/>
      <c r="D25"/>
    </row>
    <row r="26" spans="1:4" x14ac:dyDescent="0.25">
      <c r="A26"/>
      <c r="B26"/>
      <c r="C26"/>
      <c r="D26"/>
    </row>
    <row r="27" spans="1:4" x14ac:dyDescent="0.25">
      <c r="A27"/>
      <c r="B27"/>
      <c r="C27"/>
      <c r="D27"/>
    </row>
    <row r="28" spans="1:4" x14ac:dyDescent="0.25">
      <c r="A28"/>
      <c r="B28"/>
      <c r="C28"/>
      <c r="D28"/>
    </row>
    <row r="29" spans="1:4" x14ac:dyDescent="0.25">
      <c r="A29"/>
      <c r="B29"/>
      <c r="D29"/>
    </row>
    <row r="30" spans="1:4" x14ac:dyDescent="0.25">
      <c r="A30"/>
      <c r="B30"/>
      <c r="C30"/>
      <c r="D30"/>
    </row>
    <row r="31" spans="1:4" x14ac:dyDescent="0.25">
      <c r="A31"/>
      <c r="B31"/>
      <c r="C31"/>
      <c r="D31"/>
    </row>
    <row r="32" spans="1:4" x14ac:dyDescent="0.25">
      <c r="A32"/>
      <c r="B32"/>
      <c r="D32"/>
    </row>
    <row r="33" spans="1:4" x14ac:dyDescent="0.25">
      <c r="A33"/>
      <c r="B33"/>
      <c r="C33"/>
      <c r="D33"/>
    </row>
    <row r="34" spans="1:4" x14ac:dyDescent="0.25">
      <c r="A34"/>
      <c r="B34"/>
      <c r="C34"/>
      <c r="D34"/>
    </row>
    <row r="35" spans="1:4" x14ac:dyDescent="0.25">
      <c r="A35"/>
      <c r="B35"/>
      <c r="C35"/>
      <c r="D35"/>
    </row>
    <row r="36" spans="1:4" x14ac:dyDescent="0.25">
      <c r="A36"/>
      <c r="B36"/>
      <c r="C36"/>
      <c r="D36"/>
    </row>
    <row r="37" spans="1:4" x14ac:dyDescent="0.25">
      <c r="A37"/>
      <c r="B37"/>
      <c r="C37"/>
      <c r="D37"/>
    </row>
    <row r="38" spans="1:4" x14ac:dyDescent="0.25">
      <c r="A38"/>
      <c r="B38"/>
      <c r="C38"/>
      <c r="D38"/>
    </row>
    <row r="39" spans="1:4" x14ac:dyDescent="0.25">
      <c r="A39"/>
      <c r="B39"/>
      <c r="C39"/>
      <c r="D39"/>
    </row>
    <row r="40" spans="1:4" x14ac:dyDescent="0.25">
      <c r="A40"/>
      <c r="B40"/>
      <c r="C40"/>
      <c r="D40"/>
    </row>
    <row r="41" spans="1:4" x14ac:dyDescent="0.25">
      <c r="A41"/>
      <c r="B41"/>
      <c r="C41"/>
      <c r="D41"/>
    </row>
    <row r="42" spans="1:4" x14ac:dyDescent="0.25">
      <c r="A42"/>
      <c r="B42"/>
      <c r="C42"/>
      <c r="D42"/>
    </row>
    <row r="43" spans="1:4" x14ac:dyDescent="0.25">
      <c r="A43"/>
      <c r="B43"/>
      <c r="D43"/>
    </row>
    <row r="44" spans="1:4" x14ac:dyDescent="0.25">
      <c r="A44"/>
      <c r="B44"/>
      <c r="C44"/>
      <c r="D44"/>
    </row>
    <row r="45" spans="1:4" x14ac:dyDescent="0.25">
      <c r="A45"/>
      <c r="B45"/>
      <c r="C45"/>
      <c r="D45"/>
    </row>
    <row r="46" spans="1:4" x14ac:dyDescent="0.25">
      <c r="A46"/>
      <c r="B46"/>
      <c r="C46"/>
      <c r="D46"/>
    </row>
    <row r="47" spans="1:4" x14ac:dyDescent="0.25">
      <c r="A47"/>
      <c r="B47"/>
      <c r="C47"/>
      <c r="D47"/>
    </row>
    <row r="48" spans="1:4" x14ac:dyDescent="0.25">
      <c r="A48"/>
      <c r="B48"/>
      <c r="C48"/>
      <c r="D48"/>
    </row>
    <row r="49" spans="1:4" x14ac:dyDescent="0.25">
      <c r="A49"/>
      <c r="B49"/>
      <c r="C49"/>
      <c r="D49"/>
    </row>
    <row r="50" spans="1:4" x14ac:dyDescent="0.25">
      <c r="A50"/>
      <c r="B50"/>
      <c r="C50"/>
      <c r="D50"/>
    </row>
    <row r="51" spans="1:4" x14ac:dyDescent="0.25">
      <c r="A51"/>
      <c r="B51"/>
      <c r="C51"/>
      <c r="D51"/>
    </row>
    <row r="52" spans="1:4" x14ac:dyDescent="0.25">
      <c r="A52"/>
      <c r="B52"/>
      <c r="C52"/>
      <c r="D52"/>
    </row>
    <row r="53" spans="1:4" x14ac:dyDescent="0.25">
      <c r="A53"/>
      <c r="B53"/>
      <c r="C53"/>
      <c r="D53"/>
    </row>
    <row r="54" spans="1:4" x14ac:dyDescent="0.25">
      <c r="A54"/>
      <c r="B54"/>
      <c r="C54"/>
      <c r="D54"/>
    </row>
    <row r="55" spans="1:4" x14ac:dyDescent="0.25">
      <c r="A55"/>
      <c r="B55"/>
      <c r="C55"/>
      <c r="D55"/>
    </row>
    <row r="56" spans="1:4" x14ac:dyDescent="0.25">
      <c r="A56"/>
      <c r="B56"/>
      <c r="C56"/>
      <c r="D56"/>
    </row>
    <row r="57" spans="1:4" x14ac:dyDescent="0.25">
      <c r="A57"/>
      <c r="B57"/>
      <c r="C57"/>
      <c r="D57"/>
    </row>
    <row r="58" spans="1:4" x14ac:dyDescent="0.25">
      <c r="A58"/>
      <c r="B58"/>
      <c r="C58"/>
      <c r="D58"/>
    </row>
    <row r="59" spans="1:4" x14ac:dyDescent="0.25">
      <c r="A59"/>
      <c r="B59"/>
      <c r="C59"/>
      <c r="D59"/>
    </row>
    <row r="60" spans="1:4" x14ac:dyDescent="0.25">
      <c r="A60"/>
      <c r="B60"/>
      <c r="D60"/>
    </row>
    <row r="61" spans="1:4" x14ac:dyDescent="0.25">
      <c r="A61"/>
      <c r="B61"/>
      <c r="C61"/>
      <c r="D61"/>
    </row>
    <row r="62" spans="1:4" x14ac:dyDescent="0.25">
      <c r="A62"/>
      <c r="B62"/>
      <c r="C62"/>
      <c r="D62"/>
    </row>
    <row r="63" spans="1:4" x14ac:dyDescent="0.25">
      <c r="A63"/>
      <c r="B63"/>
      <c r="C63"/>
      <c r="D63"/>
    </row>
    <row r="64" spans="1:4" x14ac:dyDescent="0.25">
      <c r="A64"/>
      <c r="B64"/>
      <c r="C64"/>
      <c r="D64"/>
    </row>
    <row r="65" spans="1:4" x14ac:dyDescent="0.25">
      <c r="A65"/>
      <c r="B65"/>
      <c r="C65"/>
      <c r="D65"/>
    </row>
    <row r="66" spans="1:4" x14ac:dyDescent="0.25">
      <c r="A66"/>
      <c r="B66"/>
      <c r="C66"/>
      <c r="D66"/>
    </row>
    <row r="67" spans="1:4" x14ac:dyDescent="0.25">
      <c r="A67"/>
      <c r="B67"/>
      <c r="D67"/>
    </row>
    <row r="68" spans="1:4" x14ac:dyDescent="0.25">
      <c r="A68"/>
      <c r="B68"/>
      <c r="C68"/>
      <c r="D68"/>
    </row>
    <row r="69" spans="1:4" x14ac:dyDescent="0.25">
      <c r="A69"/>
      <c r="B69"/>
      <c r="C69"/>
      <c r="D69"/>
    </row>
    <row r="70" spans="1:4" x14ac:dyDescent="0.25">
      <c r="A70"/>
      <c r="B70"/>
      <c r="C70"/>
    </row>
    <row r="71" spans="1:4" x14ac:dyDescent="0.25">
      <c r="A71"/>
      <c r="B71"/>
      <c r="C71"/>
      <c r="D71"/>
    </row>
    <row r="72" spans="1:4" x14ac:dyDescent="0.25">
      <c r="A72"/>
      <c r="B72"/>
      <c r="C72"/>
      <c r="D72"/>
    </row>
    <row r="73" spans="1:4" x14ac:dyDescent="0.25">
      <c r="A73"/>
      <c r="B73"/>
      <c r="C73"/>
      <c r="D73"/>
    </row>
    <row r="74" spans="1:4" x14ac:dyDescent="0.25">
      <c r="A74"/>
      <c r="B74"/>
      <c r="C74"/>
      <c r="D74"/>
    </row>
    <row r="75" spans="1:4" x14ac:dyDescent="0.25">
      <c r="A75"/>
      <c r="B75"/>
      <c r="C75"/>
      <c r="D75"/>
    </row>
    <row r="76" spans="1:4" x14ac:dyDescent="0.25">
      <c r="A76"/>
      <c r="B76"/>
      <c r="C76"/>
      <c r="D76"/>
    </row>
    <row r="77" spans="1:4" x14ac:dyDescent="0.25">
      <c r="A77"/>
      <c r="B77"/>
      <c r="C77"/>
      <c r="D77"/>
    </row>
    <row r="78" spans="1:4" x14ac:dyDescent="0.25">
      <c r="A78"/>
      <c r="B78"/>
      <c r="C78"/>
      <c r="D78"/>
    </row>
    <row r="79" spans="1:4" x14ac:dyDescent="0.25">
      <c r="A79"/>
      <c r="B79"/>
      <c r="C79"/>
      <c r="D79"/>
    </row>
    <row r="80" spans="1:4" x14ac:dyDescent="0.25">
      <c r="A80"/>
      <c r="B80"/>
      <c r="C80"/>
      <c r="D80"/>
    </row>
    <row r="81" spans="1:4" x14ac:dyDescent="0.25">
      <c r="A81"/>
      <c r="B81"/>
      <c r="C81"/>
      <c r="D81"/>
    </row>
    <row r="82" spans="1:4" x14ac:dyDescent="0.25">
      <c r="A82"/>
      <c r="B82"/>
      <c r="C82"/>
      <c r="D82"/>
    </row>
    <row r="83" spans="1:4" x14ac:dyDescent="0.25">
      <c r="A83"/>
      <c r="B83"/>
      <c r="C83"/>
      <c r="D83"/>
    </row>
    <row r="84" spans="1:4" x14ac:dyDescent="0.25">
      <c r="A84"/>
      <c r="B84"/>
      <c r="C84"/>
      <c r="D84"/>
    </row>
    <row r="85" spans="1:4" x14ac:dyDescent="0.25">
      <c r="A85"/>
      <c r="B85"/>
      <c r="C85"/>
      <c r="D85"/>
    </row>
    <row r="86" spans="1:4" x14ac:dyDescent="0.25">
      <c r="A86"/>
      <c r="B86"/>
      <c r="C86"/>
      <c r="D86"/>
    </row>
    <row r="87" spans="1:4" x14ac:dyDescent="0.25">
      <c r="A87"/>
      <c r="B87"/>
      <c r="C87"/>
      <c r="D87"/>
    </row>
    <row r="88" spans="1:4" x14ac:dyDescent="0.25">
      <c r="A88"/>
      <c r="B88"/>
      <c r="C88"/>
      <c r="D88"/>
    </row>
    <row r="89" spans="1:4" x14ac:dyDescent="0.25">
      <c r="A89"/>
      <c r="B89"/>
      <c r="C89"/>
      <c r="D89"/>
    </row>
    <row r="90" spans="1:4" x14ac:dyDescent="0.25">
      <c r="A90"/>
      <c r="B90"/>
      <c r="D90"/>
    </row>
    <row r="91" spans="1:4" x14ac:dyDescent="0.25">
      <c r="A91"/>
      <c r="B91"/>
      <c r="D91"/>
    </row>
    <row r="92" spans="1:4" x14ac:dyDescent="0.25">
      <c r="A92"/>
      <c r="B92"/>
      <c r="D92"/>
    </row>
    <row r="93" spans="1:4" x14ac:dyDescent="0.25">
      <c r="A93"/>
      <c r="B93"/>
      <c r="D93"/>
    </row>
    <row r="94" spans="1:4" x14ac:dyDescent="0.25">
      <c r="A94"/>
      <c r="B94"/>
      <c r="D94"/>
    </row>
    <row r="95" spans="1:4" x14ac:dyDescent="0.25">
      <c r="A95"/>
      <c r="B95"/>
      <c r="C95"/>
      <c r="D95"/>
    </row>
    <row r="96" spans="1:4" x14ac:dyDescent="0.25">
      <c r="A96"/>
      <c r="B96"/>
      <c r="C96"/>
      <c r="D96"/>
    </row>
    <row r="97" spans="1:4" x14ac:dyDescent="0.25">
      <c r="A97"/>
      <c r="B97"/>
      <c r="C97"/>
      <c r="D97"/>
    </row>
    <row r="98" spans="1:4" x14ac:dyDescent="0.25">
      <c r="A98"/>
      <c r="B98"/>
      <c r="C98"/>
      <c r="D98"/>
    </row>
    <row r="99" spans="1:4" x14ac:dyDescent="0.25">
      <c r="A99"/>
      <c r="B99"/>
      <c r="D99"/>
    </row>
    <row r="100" spans="1:4" x14ac:dyDescent="0.25">
      <c r="A100"/>
      <c r="B100"/>
      <c r="C100"/>
      <c r="D100"/>
    </row>
    <row r="101" spans="1:4" x14ac:dyDescent="0.25">
      <c r="A101"/>
      <c r="B101"/>
      <c r="C101"/>
      <c r="D101"/>
    </row>
    <row r="102" spans="1:4" x14ac:dyDescent="0.25">
      <c r="A102"/>
      <c r="B102"/>
      <c r="C102"/>
      <c r="D102"/>
    </row>
    <row r="103" spans="1:4" x14ac:dyDescent="0.25">
      <c r="A103"/>
      <c r="B103"/>
      <c r="C103"/>
      <c r="D103"/>
    </row>
    <row r="104" spans="1:4" x14ac:dyDescent="0.25">
      <c r="A104"/>
      <c r="B104"/>
      <c r="C104"/>
      <c r="D104"/>
    </row>
    <row r="105" spans="1:4" x14ac:dyDescent="0.25">
      <c r="A105"/>
      <c r="B105"/>
      <c r="C105"/>
      <c r="D105"/>
    </row>
    <row r="106" spans="1:4" x14ac:dyDescent="0.25">
      <c r="A106"/>
      <c r="B106"/>
      <c r="C106"/>
      <c r="D106"/>
    </row>
    <row r="107" spans="1:4" x14ac:dyDescent="0.25">
      <c r="A107"/>
      <c r="B107"/>
      <c r="C107"/>
      <c r="D107"/>
    </row>
    <row r="108" spans="1:4" x14ac:dyDescent="0.25">
      <c r="A108"/>
      <c r="B108"/>
      <c r="D108"/>
    </row>
    <row r="109" spans="1:4" x14ac:dyDescent="0.25">
      <c r="A109"/>
      <c r="B109"/>
      <c r="C109"/>
      <c r="D109"/>
    </row>
    <row r="110" spans="1:4" x14ac:dyDescent="0.25">
      <c r="A110"/>
      <c r="B110"/>
      <c r="D110"/>
    </row>
    <row r="111" spans="1:4" x14ac:dyDescent="0.25">
      <c r="A111"/>
      <c r="B111"/>
      <c r="D111"/>
    </row>
    <row r="112" spans="1:4" x14ac:dyDescent="0.25">
      <c r="A112"/>
      <c r="B112"/>
      <c r="C112"/>
      <c r="D112"/>
    </row>
    <row r="113" spans="1:4" x14ac:dyDescent="0.25">
      <c r="A113"/>
      <c r="B113"/>
      <c r="C113"/>
      <c r="D113"/>
    </row>
    <row r="114" spans="1:4" x14ac:dyDescent="0.25">
      <c r="A114"/>
      <c r="B114"/>
      <c r="C114"/>
      <c r="D114"/>
    </row>
    <row r="115" spans="1:4" x14ac:dyDescent="0.25">
      <c r="A115"/>
      <c r="B115"/>
      <c r="C115"/>
      <c r="D115"/>
    </row>
    <row r="116" spans="1:4" x14ac:dyDescent="0.25">
      <c r="A116"/>
      <c r="B116"/>
      <c r="C116"/>
      <c r="D116"/>
    </row>
    <row r="117" spans="1:4" x14ac:dyDescent="0.25">
      <c r="A117"/>
      <c r="B117"/>
      <c r="C117"/>
      <c r="D117"/>
    </row>
    <row r="118" spans="1:4" x14ac:dyDescent="0.25">
      <c r="A118"/>
      <c r="B118"/>
      <c r="C118"/>
      <c r="D118"/>
    </row>
    <row r="119" spans="1:4" x14ac:dyDescent="0.25">
      <c r="A119"/>
      <c r="B119"/>
      <c r="C119"/>
      <c r="D119"/>
    </row>
    <row r="120" spans="1:4" x14ac:dyDescent="0.25">
      <c r="A120"/>
      <c r="B120"/>
      <c r="C120"/>
      <c r="D120"/>
    </row>
    <row r="121" spans="1:4" x14ac:dyDescent="0.25">
      <c r="A121"/>
      <c r="B121"/>
      <c r="C121"/>
      <c r="D121"/>
    </row>
    <row r="122" spans="1:4" x14ac:dyDescent="0.25">
      <c r="A122"/>
      <c r="B122"/>
      <c r="C122"/>
      <c r="D122"/>
    </row>
    <row r="123" spans="1:4" x14ac:dyDescent="0.25">
      <c r="A123"/>
      <c r="B123"/>
      <c r="C123"/>
      <c r="D123"/>
    </row>
    <row r="124" spans="1:4" x14ac:dyDescent="0.25">
      <c r="A124"/>
      <c r="B124"/>
      <c r="C124"/>
      <c r="D124"/>
    </row>
    <row r="125" spans="1:4" x14ac:dyDescent="0.25">
      <c r="A125"/>
      <c r="B125"/>
      <c r="C125"/>
      <c r="D125"/>
    </row>
    <row r="126" spans="1:4" x14ac:dyDescent="0.25">
      <c r="A126"/>
      <c r="B126"/>
      <c r="C126"/>
      <c r="D126"/>
    </row>
    <row r="127" spans="1:4" x14ac:dyDescent="0.25">
      <c r="A127"/>
      <c r="B127"/>
      <c r="C127"/>
      <c r="D127"/>
    </row>
    <row r="128" spans="1:4" x14ac:dyDescent="0.25">
      <c r="A128"/>
      <c r="B128"/>
      <c r="C128"/>
      <c r="D128"/>
    </row>
    <row r="129" spans="1:4" x14ac:dyDescent="0.25">
      <c r="A129"/>
      <c r="B129"/>
      <c r="C129"/>
      <c r="D129"/>
    </row>
    <row r="130" spans="1:4" x14ac:dyDescent="0.25">
      <c r="A130"/>
      <c r="B130"/>
      <c r="C130"/>
      <c r="D130"/>
    </row>
    <row r="131" spans="1:4" x14ac:dyDescent="0.25">
      <c r="A131"/>
      <c r="B131"/>
      <c r="C131"/>
      <c r="D131"/>
    </row>
    <row r="132" spans="1:4" x14ac:dyDescent="0.25">
      <c r="A132"/>
      <c r="B132"/>
      <c r="C132"/>
      <c r="D132"/>
    </row>
    <row r="133" spans="1:4" x14ac:dyDescent="0.25">
      <c r="A133"/>
      <c r="B133"/>
      <c r="C133"/>
      <c r="D133"/>
    </row>
    <row r="134" spans="1:4" x14ac:dyDescent="0.25">
      <c r="A134"/>
      <c r="B134"/>
      <c r="D134"/>
    </row>
    <row r="135" spans="1:4" x14ac:dyDescent="0.25">
      <c r="A135"/>
      <c r="B135"/>
      <c r="D135"/>
    </row>
    <row r="136" spans="1:4" x14ac:dyDescent="0.25">
      <c r="A136"/>
      <c r="B136"/>
      <c r="D136"/>
    </row>
    <row r="137" spans="1:4" x14ac:dyDescent="0.25">
      <c r="A137"/>
      <c r="B137"/>
      <c r="C137"/>
      <c r="D137"/>
    </row>
    <row r="138" spans="1:4" x14ac:dyDescent="0.25">
      <c r="A138"/>
      <c r="B138"/>
      <c r="C138"/>
      <c r="D138"/>
    </row>
    <row r="139" spans="1:4" x14ac:dyDescent="0.25">
      <c r="A139"/>
      <c r="B139"/>
      <c r="C139"/>
      <c r="D139"/>
    </row>
    <row r="140" spans="1:4" x14ac:dyDescent="0.25">
      <c r="A140"/>
      <c r="B140"/>
      <c r="C140"/>
      <c r="D140"/>
    </row>
    <row r="141" spans="1:4" x14ac:dyDescent="0.25">
      <c r="A141"/>
      <c r="B141"/>
      <c r="C141"/>
      <c r="D141"/>
    </row>
    <row r="142" spans="1:4" x14ac:dyDescent="0.25">
      <c r="A142"/>
      <c r="B142"/>
      <c r="C142"/>
      <c r="D142"/>
    </row>
    <row r="143" spans="1:4" x14ac:dyDescent="0.25">
      <c r="A143"/>
      <c r="B143"/>
      <c r="C143"/>
      <c r="D143"/>
    </row>
    <row r="144" spans="1:4" x14ac:dyDescent="0.25">
      <c r="A144"/>
      <c r="B144"/>
      <c r="C144"/>
      <c r="D144"/>
    </row>
    <row r="145" spans="1:4" x14ac:dyDescent="0.25">
      <c r="A145"/>
      <c r="B145"/>
      <c r="C145"/>
      <c r="D145"/>
    </row>
    <row r="146" spans="1:4" x14ac:dyDescent="0.25">
      <c r="A146"/>
      <c r="B146"/>
      <c r="C146"/>
      <c r="D146"/>
    </row>
    <row r="147" spans="1:4" x14ac:dyDescent="0.25">
      <c r="A147"/>
      <c r="B147"/>
      <c r="C147"/>
      <c r="D147"/>
    </row>
    <row r="148" spans="1:4" x14ac:dyDescent="0.25">
      <c r="A148"/>
      <c r="B148"/>
      <c r="C148"/>
      <c r="D148"/>
    </row>
    <row r="149" spans="1:4" x14ac:dyDescent="0.25">
      <c r="A149"/>
      <c r="B149"/>
      <c r="C149"/>
      <c r="D149"/>
    </row>
    <row r="150" spans="1:4" x14ac:dyDescent="0.25">
      <c r="A150"/>
      <c r="B150"/>
      <c r="C150"/>
      <c r="D150"/>
    </row>
    <row r="151" spans="1:4" x14ac:dyDescent="0.25">
      <c r="A151"/>
      <c r="B151"/>
      <c r="C151"/>
      <c r="D151"/>
    </row>
    <row r="152" spans="1:4" x14ac:dyDescent="0.25">
      <c r="A152"/>
      <c r="B152"/>
      <c r="C152"/>
      <c r="D152"/>
    </row>
    <row r="153" spans="1:4" x14ac:dyDescent="0.25">
      <c r="A153"/>
      <c r="B153"/>
      <c r="C153"/>
      <c r="D153"/>
    </row>
    <row r="154" spans="1:4" x14ac:dyDescent="0.25">
      <c r="A154"/>
      <c r="B154"/>
      <c r="C154"/>
      <c r="D154"/>
    </row>
    <row r="155" spans="1:4" x14ac:dyDescent="0.25">
      <c r="A155"/>
      <c r="B155"/>
      <c r="C155"/>
      <c r="D155"/>
    </row>
    <row r="156" spans="1:4" x14ac:dyDescent="0.25">
      <c r="A156"/>
      <c r="B156"/>
      <c r="C156"/>
      <c r="D156"/>
    </row>
    <row r="157" spans="1:4" x14ac:dyDescent="0.25">
      <c r="A157"/>
      <c r="B157"/>
      <c r="C157"/>
      <c r="D157"/>
    </row>
    <row r="158" spans="1:4" x14ac:dyDescent="0.25">
      <c r="A158"/>
      <c r="B158"/>
      <c r="C158"/>
      <c r="D158"/>
    </row>
    <row r="159" spans="1:4" x14ac:dyDescent="0.25">
      <c r="A159"/>
      <c r="B159"/>
      <c r="C159"/>
      <c r="D159"/>
    </row>
    <row r="160" spans="1:4" x14ac:dyDescent="0.25">
      <c r="A160"/>
      <c r="B160"/>
      <c r="C160"/>
      <c r="D160"/>
    </row>
    <row r="161" spans="1:4" x14ac:dyDescent="0.25">
      <c r="A161"/>
      <c r="B161"/>
      <c r="C161"/>
      <c r="D161"/>
    </row>
    <row r="162" spans="1:4" x14ac:dyDescent="0.25">
      <c r="A162"/>
      <c r="B162"/>
      <c r="C162"/>
      <c r="D162"/>
    </row>
    <row r="163" spans="1:4" x14ac:dyDescent="0.25">
      <c r="A163"/>
      <c r="B163"/>
      <c r="C163"/>
      <c r="D163"/>
    </row>
    <row r="164" spans="1:4" x14ac:dyDescent="0.25">
      <c r="A164"/>
      <c r="B164"/>
      <c r="C164"/>
      <c r="D164"/>
    </row>
    <row r="165" spans="1:4" x14ac:dyDescent="0.25">
      <c r="A165"/>
      <c r="B165"/>
      <c r="C165"/>
      <c r="D165"/>
    </row>
    <row r="166" spans="1:4" x14ac:dyDescent="0.25">
      <c r="A166"/>
      <c r="B166"/>
      <c r="C166"/>
      <c r="D166"/>
    </row>
    <row r="167" spans="1:4" x14ac:dyDescent="0.25">
      <c r="A167"/>
      <c r="B167"/>
      <c r="C167"/>
      <c r="D167"/>
    </row>
    <row r="168" spans="1:4" x14ac:dyDescent="0.25">
      <c r="A168"/>
      <c r="B168"/>
      <c r="C168"/>
      <c r="D168"/>
    </row>
    <row r="169" spans="1:4" x14ac:dyDescent="0.25">
      <c r="A169"/>
      <c r="B169"/>
      <c r="C169"/>
      <c r="D169"/>
    </row>
    <row r="170" spans="1:4" x14ac:dyDescent="0.25">
      <c r="A170"/>
      <c r="B170"/>
      <c r="C170"/>
      <c r="D170"/>
    </row>
    <row r="171" spans="1:4" x14ac:dyDescent="0.25">
      <c r="A171"/>
      <c r="B171"/>
      <c r="C171"/>
      <c r="D171"/>
    </row>
    <row r="172" spans="1:4" x14ac:dyDescent="0.25">
      <c r="A172"/>
      <c r="B172"/>
      <c r="C172"/>
      <c r="D172"/>
    </row>
    <row r="173" spans="1:4" x14ac:dyDescent="0.25">
      <c r="A173"/>
      <c r="B173"/>
      <c r="C173"/>
      <c r="D173"/>
    </row>
    <row r="174" spans="1:4" x14ac:dyDescent="0.25">
      <c r="A174"/>
      <c r="B174"/>
      <c r="C174"/>
      <c r="D174"/>
    </row>
    <row r="175" spans="1:4" x14ac:dyDescent="0.25">
      <c r="A175"/>
      <c r="B175"/>
      <c r="C175"/>
      <c r="D175"/>
    </row>
    <row r="176" spans="1:4" x14ac:dyDescent="0.25">
      <c r="A176"/>
      <c r="B176"/>
      <c r="C176"/>
      <c r="D176"/>
    </row>
    <row r="177" spans="1:4" x14ac:dyDescent="0.25">
      <c r="A177"/>
      <c r="B177"/>
      <c r="C177"/>
      <c r="D177"/>
    </row>
    <row r="178" spans="1:4" x14ac:dyDescent="0.25">
      <c r="A178"/>
      <c r="B178"/>
      <c r="C178"/>
      <c r="D178"/>
    </row>
    <row r="179" spans="1:4" x14ac:dyDescent="0.25">
      <c r="A179"/>
      <c r="B179"/>
      <c r="C179"/>
      <c r="D179"/>
    </row>
    <row r="180" spans="1:4" x14ac:dyDescent="0.25">
      <c r="A180"/>
      <c r="B180"/>
      <c r="C180"/>
      <c r="D180"/>
    </row>
    <row r="181" spans="1:4" x14ac:dyDescent="0.25">
      <c r="A181"/>
      <c r="B181"/>
      <c r="C181"/>
      <c r="D181"/>
    </row>
    <row r="182" spans="1:4" x14ac:dyDescent="0.25">
      <c r="A182"/>
      <c r="B182"/>
      <c r="C182"/>
      <c r="D182"/>
    </row>
    <row r="183" spans="1:4" x14ac:dyDescent="0.25">
      <c r="A183"/>
      <c r="B183"/>
      <c r="C183"/>
      <c r="D183"/>
    </row>
    <row r="184" spans="1:4" x14ac:dyDescent="0.25">
      <c r="A184"/>
      <c r="B184"/>
      <c r="C184"/>
      <c r="D184"/>
    </row>
    <row r="185" spans="1:4" x14ac:dyDescent="0.25">
      <c r="A185"/>
      <c r="B185"/>
      <c r="C185"/>
      <c r="D185"/>
    </row>
    <row r="186" spans="1:4" x14ac:dyDescent="0.25">
      <c r="A186"/>
      <c r="B186"/>
      <c r="C186"/>
      <c r="D186"/>
    </row>
    <row r="187" spans="1:4" x14ac:dyDescent="0.25">
      <c r="A187"/>
      <c r="B187"/>
      <c r="C187"/>
      <c r="D187"/>
    </row>
    <row r="188" spans="1:4" x14ac:dyDescent="0.25">
      <c r="A188"/>
      <c r="B188"/>
      <c r="C188"/>
      <c r="D188"/>
    </row>
    <row r="189" spans="1:4" x14ac:dyDescent="0.25">
      <c r="A189"/>
      <c r="B189"/>
      <c r="C189"/>
      <c r="D189"/>
    </row>
    <row r="190" spans="1:4" x14ac:dyDescent="0.25">
      <c r="A190"/>
      <c r="B190"/>
      <c r="C190"/>
      <c r="D190"/>
    </row>
    <row r="191" spans="1:4" x14ac:dyDescent="0.25">
      <c r="A191"/>
      <c r="B191"/>
      <c r="C191"/>
      <c r="D191"/>
    </row>
    <row r="192" spans="1:4" x14ac:dyDescent="0.25">
      <c r="A192"/>
      <c r="B192"/>
      <c r="C192"/>
      <c r="D192"/>
    </row>
    <row r="193" spans="1:4" x14ac:dyDescent="0.25">
      <c r="A193"/>
      <c r="B193"/>
      <c r="C193"/>
      <c r="D193"/>
    </row>
    <row r="194" spans="1:4" x14ac:dyDescent="0.25">
      <c r="A194"/>
      <c r="B194"/>
      <c r="C194"/>
      <c r="D194"/>
    </row>
    <row r="195" spans="1:4" x14ac:dyDescent="0.25">
      <c r="A195"/>
      <c r="B195"/>
      <c r="C195"/>
      <c r="D195"/>
    </row>
    <row r="196" spans="1:4" x14ac:dyDescent="0.25">
      <c r="A196"/>
      <c r="B196"/>
      <c r="C196"/>
      <c r="D196"/>
    </row>
    <row r="197" spans="1:4" x14ac:dyDescent="0.25">
      <c r="A197"/>
      <c r="B197"/>
      <c r="C197"/>
      <c r="D197"/>
    </row>
    <row r="198" spans="1:4" x14ac:dyDescent="0.25">
      <c r="A198"/>
      <c r="B198"/>
      <c r="C198"/>
      <c r="D198"/>
    </row>
    <row r="199" spans="1:4" x14ac:dyDescent="0.25">
      <c r="A199"/>
      <c r="B199"/>
      <c r="C199"/>
      <c r="D199"/>
    </row>
    <row r="200" spans="1:4" x14ac:dyDescent="0.25">
      <c r="A200"/>
      <c r="B200"/>
      <c r="C200"/>
      <c r="D200"/>
    </row>
    <row r="201" spans="1:4" x14ac:dyDescent="0.25">
      <c r="A201"/>
      <c r="B201"/>
      <c r="C201"/>
      <c r="D201"/>
    </row>
    <row r="202" spans="1:4" x14ac:dyDescent="0.25">
      <c r="A202"/>
      <c r="B202"/>
      <c r="C202"/>
      <c r="D202"/>
    </row>
    <row r="203" spans="1:4" x14ac:dyDescent="0.25">
      <c r="A203"/>
      <c r="B203"/>
      <c r="C203"/>
      <c r="D203"/>
    </row>
    <row r="204" spans="1:4" x14ac:dyDescent="0.25">
      <c r="A204"/>
      <c r="B204"/>
      <c r="C204"/>
      <c r="D204"/>
    </row>
    <row r="205" spans="1:4" x14ac:dyDescent="0.25">
      <c r="A205"/>
      <c r="B205"/>
      <c r="C205"/>
      <c r="D205"/>
    </row>
    <row r="206" spans="1:4" x14ac:dyDescent="0.25">
      <c r="A206"/>
      <c r="B206"/>
      <c r="C206"/>
      <c r="D206"/>
    </row>
    <row r="207" spans="1:4" x14ac:dyDescent="0.25">
      <c r="A207"/>
      <c r="B207"/>
      <c r="C207"/>
      <c r="D207"/>
    </row>
    <row r="208" spans="1:4" x14ac:dyDescent="0.25">
      <c r="A208"/>
      <c r="B208"/>
      <c r="C208"/>
      <c r="D208"/>
    </row>
    <row r="209" spans="1:4" x14ac:dyDescent="0.25">
      <c r="A209"/>
      <c r="B209"/>
      <c r="C209"/>
      <c r="D209"/>
    </row>
    <row r="210" spans="1:4" x14ac:dyDescent="0.25">
      <c r="A210"/>
      <c r="B210"/>
      <c r="C210"/>
      <c r="D210"/>
    </row>
    <row r="211" spans="1:4" x14ac:dyDescent="0.25">
      <c r="A211"/>
      <c r="B211"/>
      <c r="C211"/>
      <c r="D211"/>
    </row>
    <row r="212" spans="1:4" x14ac:dyDescent="0.25">
      <c r="A212"/>
      <c r="B212"/>
      <c r="C212"/>
      <c r="D212"/>
    </row>
    <row r="213" spans="1:4" x14ac:dyDescent="0.25">
      <c r="A213"/>
      <c r="B213"/>
      <c r="C213"/>
      <c r="D213"/>
    </row>
    <row r="214" spans="1:4" x14ac:dyDescent="0.25">
      <c r="A214"/>
      <c r="B214"/>
      <c r="C214"/>
      <c r="D214"/>
    </row>
    <row r="215" spans="1:4" x14ac:dyDescent="0.25">
      <c r="A215"/>
      <c r="B215"/>
      <c r="C215"/>
      <c r="D215"/>
    </row>
    <row r="216" spans="1:4" x14ac:dyDescent="0.25">
      <c r="A216"/>
      <c r="B216"/>
      <c r="C216"/>
      <c r="D216"/>
    </row>
    <row r="217" spans="1:4" x14ac:dyDescent="0.25">
      <c r="A217"/>
      <c r="B217"/>
      <c r="C217"/>
      <c r="D217"/>
    </row>
    <row r="218" spans="1:4" x14ac:dyDescent="0.25">
      <c r="A218"/>
      <c r="B218"/>
      <c r="C218"/>
      <c r="D218"/>
    </row>
    <row r="219" spans="1:4" x14ac:dyDescent="0.25">
      <c r="A219"/>
      <c r="B219"/>
      <c r="C219"/>
      <c r="D219"/>
    </row>
    <row r="220" spans="1:4" x14ac:dyDescent="0.25">
      <c r="A220"/>
      <c r="B220"/>
      <c r="C220"/>
      <c r="D220"/>
    </row>
    <row r="221" spans="1:4" x14ac:dyDescent="0.25">
      <c r="A221"/>
      <c r="B221"/>
      <c r="C221"/>
      <c r="D221"/>
    </row>
    <row r="222" spans="1:4" x14ac:dyDescent="0.25">
      <c r="A222"/>
      <c r="B222"/>
      <c r="C222"/>
      <c r="D222"/>
    </row>
    <row r="223" spans="1:4" x14ac:dyDescent="0.25">
      <c r="A223"/>
      <c r="B223"/>
      <c r="C223"/>
      <c r="D223"/>
    </row>
    <row r="224" spans="1:4" x14ac:dyDescent="0.25">
      <c r="A224"/>
      <c r="B224"/>
      <c r="D224"/>
    </row>
    <row r="225" spans="1:4" x14ac:dyDescent="0.25">
      <c r="A225"/>
      <c r="B225"/>
      <c r="D225"/>
    </row>
    <row r="226" spans="1:4" x14ac:dyDescent="0.25">
      <c r="A226"/>
      <c r="B226"/>
      <c r="D226"/>
    </row>
    <row r="227" spans="1:4" x14ac:dyDescent="0.25">
      <c r="A227"/>
      <c r="B227"/>
      <c r="C227"/>
      <c r="D227"/>
    </row>
    <row r="228" spans="1:4" x14ac:dyDescent="0.25">
      <c r="A228"/>
      <c r="B228"/>
      <c r="C228"/>
      <c r="D228"/>
    </row>
    <row r="229" spans="1:4" x14ac:dyDescent="0.25">
      <c r="A229"/>
      <c r="B229"/>
      <c r="C229"/>
      <c r="D229"/>
    </row>
    <row r="230" spans="1:4" x14ac:dyDescent="0.25">
      <c r="A230"/>
      <c r="B230"/>
      <c r="C230"/>
      <c r="D230"/>
    </row>
    <row r="231" spans="1:4" x14ac:dyDescent="0.25">
      <c r="A231"/>
      <c r="B231"/>
      <c r="C231"/>
      <c r="D231"/>
    </row>
    <row r="232" spans="1:4" x14ac:dyDescent="0.25">
      <c r="A232"/>
      <c r="B232"/>
      <c r="C232"/>
      <c r="D232"/>
    </row>
    <row r="233" spans="1:4" x14ac:dyDescent="0.25">
      <c r="A233"/>
      <c r="B233"/>
      <c r="D233"/>
    </row>
    <row r="234" spans="1:4" x14ac:dyDescent="0.25">
      <c r="A234"/>
      <c r="B234"/>
      <c r="D234"/>
    </row>
    <row r="235" spans="1:4" x14ac:dyDescent="0.25">
      <c r="A235"/>
      <c r="B235"/>
      <c r="C235"/>
      <c r="D235"/>
    </row>
    <row r="236" spans="1:4" x14ac:dyDescent="0.25">
      <c r="A236"/>
      <c r="B236"/>
      <c r="C236"/>
      <c r="D236"/>
    </row>
    <row r="237" spans="1:4" x14ac:dyDescent="0.25">
      <c r="A237"/>
      <c r="B237"/>
      <c r="C237"/>
      <c r="D237"/>
    </row>
    <row r="238" spans="1:4" x14ac:dyDescent="0.25">
      <c r="A238"/>
      <c r="B238"/>
      <c r="C238"/>
      <c r="D238"/>
    </row>
    <row r="239" spans="1:4" x14ac:dyDescent="0.25">
      <c r="A239"/>
      <c r="B239"/>
      <c r="C239"/>
      <c r="D239"/>
    </row>
    <row r="240" spans="1:4" x14ac:dyDescent="0.25">
      <c r="A240"/>
      <c r="B240"/>
      <c r="C240"/>
      <c r="D240"/>
    </row>
    <row r="241" spans="1:4" x14ac:dyDescent="0.25">
      <c r="A241"/>
      <c r="B241"/>
      <c r="C241"/>
      <c r="D241"/>
    </row>
    <row r="242" spans="1:4" x14ac:dyDescent="0.25">
      <c r="A242"/>
      <c r="B242"/>
      <c r="C242"/>
      <c r="D242"/>
    </row>
    <row r="243" spans="1:4" x14ac:dyDescent="0.25">
      <c r="A243"/>
      <c r="B243"/>
      <c r="C243"/>
      <c r="D243"/>
    </row>
    <row r="244" spans="1:4" x14ac:dyDescent="0.25">
      <c r="A244"/>
      <c r="B244"/>
      <c r="C244"/>
      <c r="D244"/>
    </row>
    <row r="245" spans="1:4" x14ac:dyDescent="0.25">
      <c r="A245"/>
      <c r="B245"/>
      <c r="C245"/>
      <c r="D245"/>
    </row>
    <row r="246" spans="1:4" x14ac:dyDescent="0.25">
      <c r="A246"/>
      <c r="B246"/>
      <c r="C246"/>
    </row>
    <row r="247" spans="1:4" x14ac:dyDescent="0.25">
      <c r="A247"/>
      <c r="B247"/>
      <c r="C247"/>
      <c r="D247"/>
    </row>
    <row r="248" spans="1:4" x14ac:dyDescent="0.25">
      <c r="A248"/>
      <c r="B248"/>
      <c r="C248"/>
      <c r="D248"/>
    </row>
    <row r="249" spans="1:4" x14ac:dyDescent="0.25">
      <c r="A249"/>
      <c r="B249"/>
      <c r="C249"/>
      <c r="D249"/>
    </row>
    <row r="250" spans="1:4" x14ac:dyDescent="0.25">
      <c r="A250"/>
      <c r="B250"/>
      <c r="C250"/>
      <c r="D250"/>
    </row>
    <row r="251" spans="1:4" x14ac:dyDescent="0.25">
      <c r="A251"/>
      <c r="B251"/>
      <c r="C251"/>
      <c r="D251"/>
    </row>
    <row r="252" spans="1:4" x14ac:dyDescent="0.25">
      <c r="A252"/>
      <c r="B252"/>
      <c r="C252"/>
      <c r="D252"/>
    </row>
    <row r="253" spans="1:4" x14ac:dyDescent="0.25">
      <c r="A253"/>
      <c r="B253"/>
      <c r="C253"/>
      <c r="D253"/>
    </row>
    <row r="254" spans="1:4" x14ac:dyDescent="0.25">
      <c r="A254"/>
      <c r="B254"/>
      <c r="D254"/>
    </row>
    <row r="255" spans="1:4" x14ac:dyDescent="0.25">
      <c r="A255"/>
      <c r="B255"/>
      <c r="C255"/>
      <c r="D255"/>
    </row>
    <row r="256" spans="1:4" x14ac:dyDescent="0.25">
      <c r="A256"/>
      <c r="B256"/>
      <c r="C256"/>
      <c r="D256"/>
    </row>
    <row r="257" spans="1:4" x14ac:dyDescent="0.25">
      <c r="A257"/>
      <c r="B257"/>
      <c r="C257"/>
      <c r="D257"/>
    </row>
    <row r="258" spans="1:4" x14ac:dyDescent="0.25">
      <c r="A258"/>
      <c r="B258"/>
      <c r="C258"/>
      <c r="D258"/>
    </row>
    <row r="259" spans="1:4" x14ac:dyDescent="0.25">
      <c r="A259"/>
      <c r="B259"/>
      <c r="C259"/>
      <c r="D259"/>
    </row>
    <row r="260" spans="1:4" x14ac:dyDescent="0.25">
      <c r="A260"/>
      <c r="B260"/>
      <c r="C260"/>
      <c r="D260"/>
    </row>
    <row r="261" spans="1:4" x14ac:dyDescent="0.25">
      <c r="A261"/>
      <c r="B261"/>
      <c r="C261"/>
      <c r="D261"/>
    </row>
    <row r="262" spans="1:4" x14ac:dyDescent="0.25">
      <c r="A262"/>
      <c r="B262"/>
      <c r="C262"/>
      <c r="D262"/>
    </row>
    <row r="263" spans="1:4" x14ac:dyDescent="0.25">
      <c r="A263"/>
      <c r="B263"/>
      <c r="C263"/>
      <c r="D263"/>
    </row>
    <row r="264" spans="1:4" x14ac:dyDescent="0.25">
      <c r="A264"/>
      <c r="B264"/>
      <c r="C264"/>
      <c r="D264"/>
    </row>
    <row r="265" spans="1:4" x14ac:dyDescent="0.25">
      <c r="A265"/>
      <c r="B265"/>
      <c r="C265"/>
      <c r="D265"/>
    </row>
    <row r="266" spans="1:4" x14ac:dyDescent="0.25">
      <c r="A266"/>
      <c r="B266"/>
      <c r="C266"/>
      <c r="D266"/>
    </row>
    <row r="267" spans="1:4" x14ac:dyDescent="0.25">
      <c r="A267"/>
      <c r="B267"/>
      <c r="C267"/>
      <c r="D267"/>
    </row>
    <row r="268" spans="1:4" x14ac:dyDescent="0.25">
      <c r="A268"/>
      <c r="B268"/>
      <c r="C268"/>
      <c r="D268"/>
    </row>
    <row r="269" spans="1:4" x14ac:dyDescent="0.25">
      <c r="A269"/>
      <c r="B269"/>
      <c r="C269"/>
      <c r="D269"/>
    </row>
    <row r="270" spans="1:4" x14ac:dyDescent="0.25">
      <c r="A270"/>
      <c r="B270"/>
      <c r="C270"/>
      <c r="D270"/>
    </row>
    <row r="271" spans="1:4" x14ac:dyDescent="0.25">
      <c r="A271"/>
      <c r="B271"/>
      <c r="C271"/>
      <c r="D271"/>
    </row>
    <row r="272" spans="1:4" x14ac:dyDescent="0.25">
      <c r="A272"/>
      <c r="B272"/>
      <c r="C272"/>
      <c r="D272"/>
    </row>
    <row r="273" spans="1:4" x14ac:dyDescent="0.25">
      <c r="A273"/>
      <c r="B273"/>
      <c r="C273"/>
      <c r="D273"/>
    </row>
    <row r="274" spans="1:4" x14ac:dyDescent="0.25">
      <c r="A274"/>
      <c r="B274"/>
      <c r="C274"/>
      <c r="D274"/>
    </row>
    <row r="275" spans="1:4" x14ac:dyDescent="0.25">
      <c r="A275"/>
      <c r="B275"/>
      <c r="C275"/>
      <c r="D275"/>
    </row>
    <row r="276" spans="1:4" x14ac:dyDescent="0.25">
      <c r="A276"/>
      <c r="B276"/>
      <c r="C276"/>
      <c r="D276"/>
    </row>
    <row r="277" spans="1:4" x14ac:dyDescent="0.25">
      <c r="A277"/>
      <c r="B277"/>
      <c r="C277"/>
      <c r="D277"/>
    </row>
    <row r="278" spans="1:4" x14ac:dyDescent="0.25">
      <c r="A278"/>
      <c r="B278"/>
      <c r="C278"/>
      <c r="D278"/>
    </row>
    <row r="279" spans="1:4" x14ac:dyDescent="0.25">
      <c r="A279"/>
      <c r="B279"/>
      <c r="C279"/>
      <c r="D279"/>
    </row>
    <row r="280" spans="1:4" x14ac:dyDescent="0.25">
      <c r="A280"/>
      <c r="B280"/>
      <c r="C280"/>
      <c r="D280"/>
    </row>
    <row r="281" spans="1:4" x14ac:dyDescent="0.25">
      <c r="A281"/>
      <c r="B281"/>
      <c r="C281"/>
      <c r="D281"/>
    </row>
    <row r="282" spans="1:4" x14ac:dyDescent="0.25">
      <c r="A282"/>
      <c r="B282"/>
      <c r="C282"/>
      <c r="D282"/>
    </row>
    <row r="283" spans="1:4" x14ac:dyDescent="0.25">
      <c r="A283"/>
      <c r="B283"/>
      <c r="C283"/>
      <c r="D283"/>
    </row>
    <row r="284" spans="1:4" x14ac:dyDescent="0.25">
      <c r="A284"/>
      <c r="B284"/>
      <c r="C284"/>
      <c r="D284"/>
    </row>
    <row r="285" spans="1:4" x14ac:dyDescent="0.25">
      <c r="A285"/>
      <c r="B285"/>
      <c r="C285"/>
      <c r="D285"/>
    </row>
    <row r="286" spans="1:4" x14ac:dyDescent="0.25">
      <c r="A286"/>
      <c r="B286"/>
      <c r="D286"/>
    </row>
    <row r="287" spans="1:4" x14ac:dyDescent="0.25">
      <c r="A287"/>
      <c r="B287"/>
      <c r="C287"/>
      <c r="D287"/>
    </row>
    <row r="288" spans="1:4" x14ac:dyDescent="0.25">
      <c r="A288"/>
      <c r="B288"/>
      <c r="C288"/>
      <c r="D288"/>
    </row>
    <row r="289" spans="1:4" x14ac:dyDescent="0.25">
      <c r="A289"/>
      <c r="B289"/>
      <c r="C289"/>
      <c r="D289"/>
    </row>
    <row r="290" spans="1:4" x14ac:dyDescent="0.25">
      <c r="A290"/>
      <c r="B290"/>
      <c r="C290"/>
      <c r="D290"/>
    </row>
    <row r="291" spans="1:4" x14ac:dyDescent="0.25">
      <c r="A291"/>
      <c r="B291"/>
      <c r="D291"/>
    </row>
    <row r="292" spans="1:4" x14ac:dyDescent="0.25">
      <c r="A292"/>
      <c r="B292"/>
      <c r="C292"/>
      <c r="D292"/>
    </row>
    <row r="293" spans="1:4" x14ac:dyDescent="0.25">
      <c r="A293"/>
      <c r="B293"/>
      <c r="C293"/>
      <c r="D293"/>
    </row>
    <row r="294" spans="1:4" x14ac:dyDescent="0.25">
      <c r="A294"/>
      <c r="B294"/>
      <c r="C294"/>
      <c r="D294"/>
    </row>
    <row r="295" spans="1:4" x14ac:dyDescent="0.25">
      <c r="A295"/>
      <c r="B295"/>
      <c r="C295"/>
      <c r="D295"/>
    </row>
    <row r="296" spans="1:4" x14ac:dyDescent="0.25">
      <c r="A296"/>
      <c r="B296"/>
      <c r="C296"/>
      <c r="D296"/>
    </row>
    <row r="297" spans="1:4" x14ac:dyDescent="0.25">
      <c r="A297"/>
      <c r="B297"/>
      <c r="C297"/>
      <c r="D297"/>
    </row>
    <row r="298" spans="1:4" x14ac:dyDescent="0.25">
      <c r="A298"/>
      <c r="B298"/>
      <c r="C298"/>
      <c r="D298"/>
    </row>
    <row r="299" spans="1:4" x14ac:dyDescent="0.25">
      <c r="A299"/>
      <c r="B299"/>
      <c r="C299"/>
      <c r="D299"/>
    </row>
    <row r="300" spans="1:4" x14ac:dyDescent="0.25">
      <c r="A300"/>
      <c r="B300"/>
      <c r="C300"/>
      <c r="D300"/>
    </row>
    <row r="301" spans="1:4" x14ac:dyDescent="0.25">
      <c r="A301"/>
      <c r="B301"/>
      <c r="D301"/>
    </row>
    <row r="302" spans="1:4" x14ac:dyDescent="0.25">
      <c r="A302"/>
      <c r="B302"/>
      <c r="C302"/>
      <c r="D302"/>
    </row>
    <row r="303" spans="1:4" x14ac:dyDescent="0.25">
      <c r="A303"/>
      <c r="B303"/>
      <c r="C303"/>
      <c r="D303"/>
    </row>
    <row r="304" spans="1:4" x14ac:dyDescent="0.25">
      <c r="A304"/>
      <c r="B304"/>
      <c r="C304"/>
      <c r="D304"/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CD6D8B-F677-4ED3-ADB3-20FB42214D8B}">
  <sheetPr codeName="Sheet3"/>
  <dimension ref="A1:A2"/>
  <sheetViews>
    <sheetView workbookViewId="0">
      <selection activeCell="A2" sqref="A2"/>
    </sheetView>
  </sheetViews>
  <sheetFormatPr defaultRowHeight="15" x14ac:dyDescent="0.25"/>
  <sheetData>
    <row r="1" spans="1:1" x14ac:dyDescent="0.25">
      <c r="A1" t="str" cm="1">
        <f t="array" aca="1" ref="A1" ca="1">CELL("filename")</f>
        <v>C:\Users\disalead\OneDrive - Great Lakes Castings\Documents\Production Sheet\[Disamatic Production Sheet 2.6.xltx]Production Sheet</v>
      </c>
    </row>
    <row r="2" spans="1:1" x14ac:dyDescent="0.25">
      <c r="A2" t="str">
        <f ca="1">MID(A1,FIND("[",A1)+1,FIND("]",A1)-FIND("[",A1)-1)</f>
        <v>Disamatic Production Sheet 2.6.xltx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E4EB762-523A-4E37-8234-84228EDB2B0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Production Sheet</vt:lpstr>
      <vt:lpstr>M1</vt:lpstr>
      <vt:lpstr>Sheet1</vt:lpstr>
      <vt:lpstr>CurrentFileName</vt:lpstr>
      <vt:lpstr>CurrentFileName</vt:lpstr>
      <vt:lpstr>'Production Sheet'!Print_Area</vt:lpstr>
    </vt:vector>
  </TitlesOfParts>
  <Manager/>
  <Company>Hewlett-Packard Company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Disa Lead</dc:creator>
  <cp:keywords/>
  <dc:description/>
  <cp:lastModifiedBy>Disa Lead</cp:lastModifiedBy>
  <cp:revision/>
  <cp:lastPrinted>2025-09-28T10:39:28Z</cp:lastPrinted>
  <dcterms:created xsi:type="dcterms:W3CDTF">2020-06-05T01:42:18Z</dcterms:created>
  <dcterms:modified xsi:type="dcterms:W3CDTF">2026-02-11T05:01:14Z</dcterms:modified>
  <cp:category/>
  <cp:contentStatus/>
</cp:coreProperties>
</file>